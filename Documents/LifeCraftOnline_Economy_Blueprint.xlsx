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Resource Prices" sheetId="2" state="visible" r:id="rId4"/>
    <sheet name="Production Margins" sheetId="3" state="visible" r:id="rId5"/>
    <sheet name="NPC Buy Rates" sheetId="4" state="visible" r:id="rId6"/>
    <sheet name="Wage Tables" sheetId="5" state="visible" r:id="rId7"/>
    <sheet name="Upgrade ROI" sheetId="6" state="visible" r:id="rId8"/>
    <sheet name="New Player Scenario" sheetId="7" state="visible" r:id="rId9"/>
    <sheet name="Supply Chain Co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<sst xmlns="http://schemas.openxmlformats.org/spreadsheetml/2006/main" count="620" uniqueCount="439">
  <si>
    <t xml:space="preserve">LifeCraftOnline — Economy Blueprint v1.0</t>
  </si>
  <si>
    <t xml:space="preserve">Designed for: Small launch (50–200 players)  |  Target new-player net profit: $150–$250 / first hour  |  Upgrade pace: Milestone-paced</t>
  </si>
  <si>
    <t xml:space="preserve">Sheet</t>
  </si>
  <si>
    <t xml:space="preserve">Contents</t>
  </si>
  <si>
    <t xml:space="preserve">Key Assumptions (Blue = editable inputs)</t>
  </si>
  <si>
    <t xml:space="preserve">1. Index</t>
  </si>
  <si>
    <t xml:space="preserve">This sheet. Overview and legend.</t>
  </si>
  <si>
    <t xml:space="preserve">—</t>
  </si>
  <si>
    <t xml:space="preserve">2. Resource Prices</t>
  </si>
  <si>
    <t xml:space="preserve">NPC price ceilings, quality multipliers, item categories</t>
  </si>
  <si>
    <t xml:space="preserve">Ceilings, quality tiers</t>
  </si>
  <si>
    <t xml:space="preserve">3. Production Margins</t>
  </si>
  <si>
    <t xml:space="preserve">Per-business profitability at base (no upgrades)</t>
  </si>
  <si>
    <t xml:space="preserve">Item prices, wage rates, recipe inputs</t>
  </si>
  <si>
    <t xml:space="preserve">4. NPC Buy Rates</t>
  </si>
  <si>
    <t xml:space="preserve">Units NPC buyers purchase per hour per item</t>
  </si>
  <si>
    <t xml:space="preserve">Buy rates, price sensitivity at ceiling</t>
  </si>
  <si>
    <t xml:space="preserve">5. Wage Tables</t>
  </si>
  <si>
    <t xml:space="preserve">Hourly wage by employee type and skill level</t>
  </si>
  <si>
    <t xml:space="preserve">Base wages, skill modifier, variance</t>
  </si>
  <si>
    <t xml:space="preserve">6. Upgrade ROI</t>
  </si>
  <si>
    <t xml:space="preserve">Infinite upgrade cost &amp; efficiency curves to Level 25</t>
  </si>
  <si>
    <t xml:space="preserve">Base cost, cost multiplier (1.25x), gain (1.10x)</t>
  </si>
  <si>
    <t xml:space="preserve">7. New Player Scenario</t>
  </si>
  <si>
    <t xml:space="preserve">Hour-by-hour profitability for a Day 1 Farm player</t>
  </si>
  <si>
    <t xml:space="preserve">Starting capital, crop choice, water costs</t>
  </si>
  <si>
    <t xml:space="preserve">8. Supply Chain Costs</t>
  </si>
  <si>
    <t xml:space="preserve">Full input/output cost breakdown for 4 supply chains</t>
  </si>
  <si>
    <t xml:space="preserve">All item prices from Sheet 2</t>
  </si>
  <si>
    <t xml:space="preserve">Colour Legend</t>
  </si>
  <si>
    <t xml:space="preserve">Blue text on yellow</t>
  </si>
  <si>
    <t xml:space="preserve">Hardcoded input — change these to tune the economy</t>
  </si>
  <si>
    <t xml:space="preserve">Black text</t>
  </si>
  <si>
    <t xml:space="preserve">Calculated formula — do not edit directly</t>
  </si>
  <si>
    <t xml:space="preserve">Green text</t>
  </si>
  <si>
    <t xml:space="preserve">Cross-sheet reference</t>
  </si>
  <si>
    <t xml:space="preserve">Red / orange text</t>
  </si>
  <si>
    <t xml:space="preserve">Warning: negative margin or loss</t>
  </si>
  <si>
    <t xml:space="preserve">Green row header</t>
  </si>
  <si>
    <t xml:space="preserve">Section / category header</t>
  </si>
  <si>
    <t xml:space="preserve">Light green row</t>
  </si>
  <si>
    <t xml:space="preserve">Sub-header or grouping row</t>
  </si>
  <si>
    <t xml:space="preserve">Resource Prices — NPC Ceilings, Quality Multipliers &amp; Item Reference</t>
  </si>
  <si>
    <t xml:space="preserve">Item</t>
  </si>
  <si>
    <t xml:space="preserve">Category</t>
  </si>
  <si>
    <t xml:space="preserve">Tier</t>
  </si>
  <si>
    <t xml:space="preserve">NPC Ceiling (Std)</t>
  </si>
  <si>
    <t xml:space="preserve">Notes</t>
  </si>
  <si>
    <t xml:space="preserve">Quality Range</t>
  </si>
  <si>
    <t xml:space="preserve">Label</t>
  </si>
  <si>
    <t xml:space="preserve">NPC Price Mult</t>
  </si>
  <si>
    <t xml:space="preserve">Iron Ore</t>
  </si>
  <si>
    <t xml:space="preserve">Raw Mineral</t>
  </si>
  <si>
    <t xml:space="preserve">Tier 1</t>
  </si>
  <si>
    <t xml:space="preserve">High-volume mine output; feeds Metalworking</t>
  </si>
  <si>
    <t xml:space="preserve">1 – 20</t>
  </si>
  <si>
    <t xml:space="preserve">Poor</t>
  </si>
  <si>
    <t xml:space="preserve">Coal</t>
  </si>
  <si>
    <t xml:space="preserve">Required for Steel Bar production</t>
  </si>
  <si>
    <t xml:space="preserve">21 – 40</t>
  </si>
  <si>
    <t xml:space="preserve">Standard</t>
  </si>
  <si>
    <t xml:space="preserve">Copper Ore</t>
  </si>
  <si>
    <t xml:space="preserve">Specialty; fewer uses in MVP but higher value</t>
  </si>
  <si>
    <t xml:space="preserve">41 – 60</t>
  </si>
  <si>
    <t xml:space="preserve">Good</t>
  </si>
  <si>
    <t xml:space="preserve">Gravel</t>
  </si>
  <si>
    <t xml:space="preserve">Low-value bulk; construction filler</t>
  </si>
  <si>
    <t xml:space="preserve">61 – 80</t>
  </si>
  <si>
    <t xml:space="preserve">Premium</t>
  </si>
  <si>
    <t xml:space="preserve">Crude Oil</t>
  </si>
  <si>
    <t xml:space="preserve">Raw Fuel</t>
  </si>
  <si>
    <t xml:space="preserve">Houston/Dallas/Denver only; high ceiling</t>
  </si>
  <si>
    <t xml:space="preserve">81 – 100</t>
  </si>
  <si>
    <t xml:space="preserve">Masterwork</t>
  </si>
  <si>
    <t xml:space="preserve">Raw Wood</t>
  </si>
  <si>
    <t xml:space="preserve">Raw Natural</t>
  </si>
  <si>
    <t xml:space="preserve">Logging Camp output; feeds Sawmill</t>
  </si>
  <si>
    <t xml:space="preserve">Water</t>
  </si>
  <si>
    <t xml:space="preserve">Very high volume; essential farm/winery input</t>
  </si>
  <si>
    <t xml:space="preserve">Red Grape</t>
  </si>
  <si>
    <t xml:space="preserve">Raw Crop</t>
  </si>
  <si>
    <t xml:space="preserve">Farm crop; winery primary input</t>
  </si>
  <si>
    <t xml:space="preserve">Wheat</t>
  </si>
  <si>
    <t xml:space="preserve">Farm crop; flour + seed conversion source</t>
  </si>
  <si>
    <t xml:space="preserve">Potato</t>
  </si>
  <si>
    <t xml:space="preserve">Farm crop; chips input</t>
  </si>
  <si>
    <t xml:space="preserve">Corn</t>
  </si>
  <si>
    <t xml:space="preserve">Farm crop; corn whiskey input</t>
  </si>
  <si>
    <t xml:space="preserve">Cotton</t>
  </si>
  <si>
    <t xml:space="preserve">Farm crop; future textile use</t>
  </si>
  <si>
    <t xml:space="preserve">Peach</t>
  </si>
  <si>
    <t xml:space="preserve">Farm crop; premium food; future preserve use</t>
  </si>
  <si>
    <t xml:space="preserve">Seeds</t>
  </si>
  <si>
    <t xml:space="preserve">Agricultural</t>
  </si>
  <si>
    <t xml:space="preserve">Wheat→Seeds 1:10 conversion; farm required part</t>
  </si>
  <si>
    <t xml:space="preserve">Wood Plank</t>
  </si>
  <si>
    <t xml:space="preserve">Processed</t>
  </si>
  <si>
    <t xml:space="preserve">Tier 2</t>
  </si>
  <si>
    <t xml:space="preserve">Sawmill: 1 Raw Wood → 10 Planks per tick</t>
  </si>
  <si>
    <t xml:space="preserve">Wood Handle</t>
  </si>
  <si>
    <t xml:space="preserve">Carpentry: 15 Plank → 5 Handles per tick</t>
  </si>
  <si>
    <t xml:space="preserve">Wooden Barrel</t>
  </si>
  <si>
    <t xml:space="preserve">Carpentry: 20 Plank → 2 Barrels per tick</t>
  </si>
  <si>
    <t xml:space="preserve">Iron Bar</t>
  </si>
  <si>
    <t xml:space="preserve">Metalworking: 5 Iron Ore → 3 Iron Bar per tick</t>
  </si>
  <si>
    <t xml:space="preserve">Steel Bar</t>
  </si>
  <si>
    <t xml:space="preserve">Metalworking: 5 Iron Ore + 2 Coal → 3 Steel Bar</t>
  </si>
  <si>
    <t xml:space="preserve">Steel Beam</t>
  </si>
  <si>
    <t xml:space="preserve">Metalworking: 3 Steel Bar → 1 Steel Beam</t>
  </si>
  <si>
    <t xml:space="preserve">Flour</t>
  </si>
  <si>
    <t xml:space="preserve">Food Processing: 10 Wheat + 5 Water → 100 Flour</t>
  </si>
  <si>
    <t xml:space="preserve">Chips</t>
  </si>
  <si>
    <t xml:space="preserve">Food Processing: 10 Potato + 2 Water → 80 Chips</t>
  </si>
  <si>
    <t xml:space="preserve">Pickaxe</t>
  </si>
  <si>
    <t xml:space="preserve">Tool</t>
  </si>
  <si>
    <t xml:space="preserve">Metalworking: 3 Iron Bar + 1 Wood Handle → 1; 500 uses</t>
  </si>
  <si>
    <t xml:space="preserve">Axe</t>
  </si>
  <si>
    <t xml:space="preserve">Metalworking: 3 Iron Bar + 1 Wood Handle → 1; 400 uses</t>
  </si>
  <si>
    <t xml:space="preserve">Drill Bit</t>
  </si>
  <si>
    <t xml:space="preserve">Metalworking: 3 Steel Bar + 1 Iron Bar → 1; 300 uses</t>
  </si>
  <si>
    <t xml:space="preserve">Chair</t>
  </si>
  <si>
    <t xml:space="preserve">Furniture</t>
  </si>
  <si>
    <t xml:space="preserve">Tier 3</t>
  </si>
  <si>
    <t xml:space="preserve">Carpentry: 10 Wood Plank → 1 Chair per tick</t>
  </si>
  <si>
    <t xml:space="preserve">Table</t>
  </si>
  <si>
    <t xml:space="preserve">Carpentry: 30 Wood Plank + 4 Steel Bar → 1 Table</t>
  </si>
  <si>
    <t xml:space="preserve">Red Wine</t>
  </si>
  <si>
    <t xml:space="preserve">Alcohol</t>
  </si>
  <si>
    <t xml:space="preserve">Winery: 1 Grape + 5 Water + 2 Barrels → 35 Wine</t>
  </si>
  <si>
    <t xml:space="preserve">Whiskey</t>
  </si>
  <si>
    <t xml:space="preserve">Winery: 1 Wheat + 5 Water + 2 Barrels → 20 Whiskey</t>
  </si>
  <si>
    <t xml:space="preserve">Corn Whiskey</t>
  </si>
  <si>
    <t xml:space="preserve">Winery: 1 Corn + 5 Water + 2 Barrels → 18 Corn Whiskey</t>
  </si>
  <si>
    <t xml:space="preserve">Production Margins — Per-Business Profitability at Base Level (No Upgrades)</t>
  </si>
  <si>
    <t xml:space="preserve">Temp Worker / hr</t>
  </si>
  <si>
    <t xml:space="preserve">$/hr  (blue = editable)</t>
  </si>
  <si>
    <t xml:space="preserve">Part-Time / hr</t>
  </si>
  <si>
    <t xml:space="preserve">Full-Time / hr</t>
  </si>
  <si>
    <t xml:space="preserve">Business</t>
  </si>
  <si>
    <t xml:space="preserve">Recipe (per 10-min tick)</t>
  </si>
  <si>
    <t xml:space="preserve">Input Cost
($/tick)</t>
  </si>
  <si>
    <t xml:space="preserve">Worker Wage
($/tick)</t>
  </si>
  <si>
    <t xml:space="preserve">Total Cost
($/tick)</t>
  </si>
  <si>
    <t xml:space="preserve">Output Value
($/tick)</t>
  </si>
  <si>
    <t xml:space="preserve">Net Profit
($/tick)</t>
  </si>
  <si>
    <t xml:space="preserve">Net Profit
($/hr)</t>
  </si>
  <si>
    <t xml:space="preserve">Margin
%</t>
  </si>
  <si>
    <t xml:space="preserve">Mine (Iron Ore)</t>
  </si>
  <si>
    <t xml:space="preserve">1 worker → 10 Iron Ore</t>
  </si>
  <si>
    <t xml:space="preserve">Farm (Wheat)</t>
  </si>
  <si>
    <t xml:space="preserve">1 worker → 10 Wheat (needs Water+Seeds)</t>
  </si>
  <si>
    <t xml:space="preserve">Water Company</t>
  </si>
  <si>
    <t xml:space="preserve">1 worker → 10 Water</t>
  </si>
  <si>
    <t xml:space="preserve">Logging Camp</t>
  </si>
  <si>
    <t xml:space="preserve">1 worker → 10 Raw Wood</t>
  </si>
  <si>
    <t xml:space="preserve">Sawmill</t>
  </si>
  <si>
    <t xml:space="preserve">1 Raw Wood → 10 Wood Plank</t>
  </si>
  <si>
    <t xml:space="preserve">Metalworking — Iron Bar</t>
  </si>
  <si>
    <t xml:space="preserve">5 Iron Ore → 3 Iron Bar</t>
  </si>
  <si>
    <t xml:space="preserve">Metalworking — Steel Bar</t>
  </si>
  <si>
    <t xml:space="preserve">5 Iron Ore + 2 Coal → 3 Steel Bar</t>
  </si>
  <si>
    <t xml:space="preserve">Metalworking — Steel Beam</t>
  </si>
  <si>
    <t xml:space="preserve">3 Steel Bar → 1 Steel Beam</t>
  </si>
  <si>
    <t xml:space="preserve">Metalworking — Pickaxe</t>
  </si>
  <si>
    <t xml:space="preserve">3 Iron Bar + 1 Wood Handle → 1 Pickaxe</t>
  </si>
  <si>
    <t xml:space="preserve">Metalworking — Axe</t>
  </si>
  <si>
    <t xml:space="preserve">3 Iron Bar + 1 Wood Handle → 1 Axe</t>
  </si>
  <si>
    <t xml:space="preserve">Metalworking — Drill Bit</t>
  </si>
  <si>
    <t xml:space="preserve">3 Steel Bar + 1 Iron Bar → 1 Drill Bit</t>
  </si>
  <si>
    <t xml:space="preserve">Food Processing — Flour</t>
  </si>
  <si>
    <t xml:space="preserve">10 Wheat + 5 Water → 100 Flour</t>
  </si>
  <si>
    <t xml:space="preserve">Food Processing — Chips</t>
  </si>
  <si>
    <t xml:space="preserve">10 Potato + 2 Water → 80 Chips</t>
  </si>
  <si>
    <t xml:space="preserve">Food Processing — Seeds</t>
  </si>
  <si>
    <t xml:space="preserve">1 Wheat → 10 Seeds</t>
  </si>
  <si>
    <t xml:space="preserve">Carpentry — Chair</t>
  </si>
  <si>
    <t xml:space="preserve">10 Wood Plank → 1 Chair</t>
  </si>
  <si>
    <t xml:space="preserve">Carpentry — Table</t>
  </si>
  <si>
    <t xml:space="preserve">30 Wood Plank + 4 Steel Bar → 1 Table</t>
  </si>
  <si>
    <t xml:space="preserve">Carpentry — Barrels</t>
  </si>
  <si>
    <t xml:space="preserve">20 Wood Plank → 2 Wooden Barrels</t>
  </si>
  <si>
    <t xml:space="preserve">Carpentry — Wood Handle</t>
  </si>
  <si>
    <t xml:space="preserve">15 Wood Plank → 5 Wood Handles</t>
  </si>
  <si>
    <t xml:space="preserve">Winery — Red Wine</t>
  </si>
  <si>
    <t xml:space="preserve">1 Grape+5 Water+2 Barrels → 35 Wine</t>
  </si>
  <si>
    <t xml:space="preserve">Winery — Whiskey</t>
  </si>
  <si>
    <t xml:space="preserve">1 Wheat+5 Water+2 Barrels → 20 Whiskey</t>
  </si>
  <si>
    <t xml:space="preserve">NPC Buy Rates — Units Purchased Per Hour (Small Server: 50–200 Players)</t>
  </si>
  <si>
    <t xml:space="preserve">NPC buyers always purchase the LOWEST priced listing first. At or above the price ceiling, NPC volume = 0. These rates assume ~100 active players at peak.</t>
  </si>
  <si>
    <t xml:space="preserve">NPC Buys / Hour
(at or below ceiling)</t>
  </si>
  <si>
    <t xml:space="preserve">NPC Buys / 10-min Tick</t>
  </si>
  <si>
    <t xml:space="preserve">Price Ceiling</t>
  </si>
  <si>
    <t xml:space="preserve">At 110% Ceiling
(NPC buys)</t>
  </si>
  <si>
    <t xml:space="preserve">Highest volume; Farms+Wineries need constant supply</t>
  </si>
  <si>
    <t xml:space="preserve">High volume; Metalworking constant demand</t>
  </si>
  <si>
    <t xml:space="preserve">Paired with Iron Ore for Steel production</t>
  </si>
  <si>
    <t xml:space="preserve">Sawmill input; moderate NPC direct demand</t>
  </si>
  <si>
    <t xml:space="preserve">Flour + seed conversion; steady demand</t>
  </si>
  <si>
    <t xml:space="preserve">Winery input; lower direct NPC demand</t>
  </si>
  <si>
    <t xml:space="preserve">Chips input; good volume</t>
  </si>
  <si>
    <t xml:space="preserve">Whiskey input; moderate</t>
  </si>
  <si>
    <t xml:space="preserve">Bulk low-value; moderate NPC demand</t>
  </si>
  <si>
    <t xml:space="preserve">Specialty; lower volume</t>
  </si>
  <si>
    <t xml:space="preserve">Every active Farm needs seeds; steady recurring</t>
  </si>
  <si>
    <t xml:space="preserve">Carpentry input; good throughput</t>
  </si>
  <si>
    <t xml:space="preserve">Tool + Steel chain input; solid demand</t>
  </si>
  <si>
    <t xml:space="preserve">Beam + Drill Bit input; mid volume</t>
  </si>
  <si>
    <t xml:space="preserve">Construction item; lower but consistent</t>
  </si>
  <si>
    <t xml:space="preserve">Tool crafting input; tied to Pickaxe/Axe demand</t>
  </si>
  <si>
    <t xml:space="preserve">Winery input; moderate but critical</t>
  </si>
  <si>
    <t xml:space="preserve">Food</t>
  </si>
  <si>
    <t xml:space="preserve">High-volume food; strong NPC demand</t>
  </si>
  <si>
    <t xml:space="preserve">Popular snack item; high volume</t>
  </si>
  <si>
    <t xml:space="preserve">Every active Miner needs ~1 per 500 extractions</t>
  </si>
  <si>
    <t xml:space="preserve">Every active Logger needs ~1 per 400 uses</t>
  </si>
  <si>
    <t xml:space="preserve">Oil Well; limited cities = lower demand</t>
  </si>
  <si>
    <t xml:space="preserve">Finished good; steady but lower volume</t>
  </si>
  <si>
    <t xml:space="preserve">High-value, lower volume</t>
  </si>
  <si>
    <t xml:space="preserve">Popular; good volume for Liquor Stores</t>
  </si>
  <si>
    <t xml:space="preserve">Premium; moderate volume</t>
  </si>
  <si>
    <t xml:space="preserve">Niche; lower volume</t>
  </si>
  <si>
    <t xml:space="preserve">Wage Tables — Hourly Wage by Employee Type &amp; Skill Level</t>
  </si>
  <si>
    <t xml:space="preserve">Wage Formula:  Hourly Wage = Base + (Skill Level × Modifier) ± Variance</t>
  </si>
  <si>
    <t xml:space="preserve">Temp Worker Base Wage ($/hr)</t>
  </si>
  <si>
    <t xml:space="preserve">Part-Time Base Wage ($/hr)</t>
  </si>
  <si>
    <t xml:space="preserve">Full-Time Base Wage ($/hr)</t>
  </si>
  <si>
    <t xml:space="preserve">Specialist Base Wage ($/hr)</t>
  </si>
  <si>
    <t xml:space="preserve">Skill Modifier — Standard ($/skill level/hr)</t>
  </si>
  <si>
    <t xml:space="preserve">Skill Modifier — Specialist ($/skill level/hr)</t>
  </si>
  <si>
    <t xml:space="preserve">Random Variance Range ($/hr)</t>
  </si>
  <si>
    <t xml:space="preserve">Shift Limits: Temp = 4 hrs max | Part-Time = 8 hrs max | Full-Time = 12 hrs max | Specialist = 12 hrs max  |  After max shift, worker Rests until player re-activates them.</t>
  </si>
  <si>
    <t xml:space="preserve">Employee Type</t>
  </si>
  <si>
    <t xml:space="preserve">Max Shift</t>
  </si>
  <si>
    <t xml:space="preserve">Base $/hr</t>
  </si>
  <si>
    <t xml:space="preserve">Skill 1</t>
  </si>
  <si>
    <t xml:space="preserve">Skill 5</t>
  </si>
  <si>
    <t xml:space="preserve">Skill 10</t>
  </si>
  <si>
    <t xml:space="preserve">Skill 15</t>
  </si>
  <si>
    <t xml:space="preserve">Skill 20</t>
  </si>
  <si>
    <t xml:space="preserve">Skill 25</t>
  </si>
  <si>
    <t xml:space="preserve">Skill 30</t>
  </si>
  <si>
    <t xml:space="preserve">Skill 40</t>
  </si>
  <si>
    <t xml:space="preserve">Skill 50</t>
  </si>
  <si>
    <t xml:space="preserve">Skill 75</t>
  </si>
  <si>
    <t xml:space="preserve">Skill 100</t>
  </si>
  <si>
    <t xml:space="preserve">Temp Worker</t>
  </si>
  <si>
    <t xml:space="preserve">4 hrs</t>
  </si>
  <si>
    <t xml:space="preserve">Part-Time Worker</t>
  </si>
  <si>
    <t xml:space="preserve">8 hrs</t>
  </si>
  <si>
    <t xml:space="preserve">Full-Time Employee</t>
  </si>
  <si>
    <t xml:space="preserve">12 hrs</t>
  </si>
  <si>
    <t xml:space="preserve">Specialist</t>
  </si>
  <si>
    <t xml:space="preserve">Daily Wage Cost Examples (assumes player re-activates workers at end of each shift)</t>
  </si>
  <si>
    <t xml:space="preserve">Skill Level</t>
  </si>
  <si>
    <t xml:space="preserve">Wage / hr</t>
  </si>
  <si>
    <t xml:space="preserve">Shift Length</t>
  </si>
  <si>
    <t xml:space="preserve">Cost per Shift</t>
  </si>
  <si>
    <t xml:space="preserve">Shifts/Day
(24 hr)</t>
  </si>
  <si>
    <t xml:space="preserve">Max Daily
Wage Cost</t>
  </si>
  <si>
    <t xml:space="preserve">Early game default</t>
  </si>
  <si>
    <t xml:space="preserve">After a few days of XP gain</t>
  </si>
  <si>
    <t xml:space="preserve">Better value than Temp at same skill</t>
  </si>
  <si>
    <t xml:space="preserve">Best hourly rate; high daily commitment</t>
  </si>
  <si>
    <t xml:space="preserve">Mid-game full-timer; strong production</t>
  </si>
  <si>
    <t xml:space="preserve">Niche role; high skill ceiling output</t>
  </si>
  <si>
    <t xml:space="preserve">Late-game specialist; premium but powerful</t>
  </si>
  <si>
    <t xml:space="preserve">Upgrade ROI — Infinite Upgrade System  |  Cost Curves &amp; Efficiency Gains to Level 25</t>
  </si>
  <si>
    <t xml:space="preserve">Global Upgrade Assumptions (editable)</t>
  </si>
  <si>
    <t xml:space="preserve">Cost Multiplier per Level</t>
  </si>
  <si>
    <t xml:space="preserve">Each level costs 25% more than the last</t>
  </si>
  <si>
    <t xml:space="preserve">Efficiency Gain per Level</t>
  </si>
  <si>
    <t xml:space="preserve">Each level provides 10% more output than previous</t>
  </si>
  <si>
    <t xml:space="preserve">Hours of Play per Day (assumed)</t>
  </si>
  <si>
    <t xml:space="preserve">For payback period calculations</t>
  </si>
  <si>
    <t xml:space="preserve">Base Costs by Business Type — First-Level Upgrade Investment</t>
  </si>
  <si>
    <t xml:space="preserve">Upgrade</t>
  </si>
  <si>
    <t xml:space="preserve">Base Cost
(Level 1)</t>
  </si>
  <si>
    <t xml:space="preserve">Mine — Extraction Efficiency</t>
  </si>
  <si>
    <t xml:space="preserve">Most impactful early upgrade for miners</t>
  </si>
  <si>
    <t xml:space="preserve">Mine — Tool Durability</t>
  </si>
  <si>
    <t xml:space="preserve">Reduces Pickaxe/Axe replacement cost; long-term saver</t>
  </si>
  <si>
    <t xml:space="preserve">Mine — Worker Capacity (+1 slot)</t>
  </si>
  <si>
    <t xml:space="preserve">Hard cap at +6 extra slots; one-time cost per slot</t>
  </si>
  <si>
    <t xml:space="preserve">Farm — Crop Yield</t>
  </si>
  <si>
    <t xml:space="preserve">Cheapest upgrade in the game; excellent early ROI</t>
  </si>
  <si>
    <t xml:space="preserve">Farm — Water Efficiency</t>
  </si>
  <si>
    <t xml:space="preserve">Reduces biggest farm input cost</t>
  </si>
  <si>
    <t xml:space="preserve">Farm — Seed Efficiency</t>
  </si>
  <si>
    <t xml:space="preserve">Reduces second-biggest farm input cost</t>
  </si>
  <si>
    <t xml:space="preserve">Sawmill — Production Efficiency</t>
  </si>
  <si>
    <t xml:space="preserve">More planks per tick</t>
  </si>
  <si>
    <t xml:space="preserve">Metalworking — Production Efficiency</t>
  </si>
  <si>
    <t xml:space="preserve">More bars/tools per tick</t>
  </si>
  <si>
    <t xml:space="preserve">Food Processing — Production Efficiency</t>
  </si>
  <si>
    <t xml:space="preserve">More flour/chips per tick</t>
  </si>
  <si>
    <t xml:space="preserve">Carpentry — Production Efficiency</t>
  </si>
  <si>
    <t xml:space="preserve">More furniture/barrels per tick</t>
  </si>
  <si>
    <t xml:space="preserve">Winery — Production Efficiency</t>
  </si>
  <si>
    <t xml:space="preserve">More wine/whiskey per tick</t>
  </si>
  <si>
    <t xml:space="preserve">General Store — Storefront Appeal</t>
  </si>
  <si>
    <t xml:space="preserve">Primary NPC traffic driver for stores</t>
  </si>
  <si>
    <t xml:space="preserve">General Store — Listing Capacity</t>
  </si>
  <si>
    <t xml:space="preserve">Capped at +10 extra slots</t>
  </si>
  <si>
    <t xml:space="preserve">Specialty Store — Storefront Appeal</t>
  </si>
  <si>
    <t xml:space="preserve">Same as General; applied to focused category</t>
  </si>
  <si>
    <t xml:space="preserve">All Mfg — Equipment Quality</t>
  </si>
  <si>
    <t xml:space="preserve">+5 quality per level; compounds into major price premium</t>
  </si>
  <si>
    <t xml:space="preserve">All Mfg — Input Reduction</t>
  </si>
  <si>
    <t xml:space="preserve">-5% inputs per level; critical at scale</t>
  </si>
  <si>
    <t xml:space="preserve">All Mfg — Worker Capacity (+1)</t>
  </si>
  <si>
    <t xml:space="preserve">Capped at +4 extra slots</t>
  </si>
  <si>
    <t xml:space="preserve">Upgrade Curve — Farm Crop Yield (Base $400)  |  Canonical Example for All Infinite Upgrades</t>
  </si>
  <si>
    <t xml:space="preserve">Base Cost (editable — change to model any upgrade)</t>
  </si>
  <si>
    <t xml:space="preserve">Level</t>
  </si>
  <si>
    <t xml:space="preserve">Cost This Level</t>
  </si>
  <si>
    <t xml:space="preserve">Cumulative Cost</t>
  </si>
  <si>
    <t xml:space="preserve">Efficiency Multiplier</t>
  </si>
  <si>
    <t xml:space="preserve">Output Multiplier vs L1</t>
  </si>
  <si>
    <t xml:space="preserve">Hours to Save
(@ $200/hr net)</t>
  </si>
  <si>
    <t xml:space="preserve">Days to Save
(@4 hrs/day)</t>
  </si>
  <si>
    <t xml:space="preserve">First upgrade — accessible in first day of play</t>
  </si>
  <si>
    <t xml:space="preserve">Early milestone — takes 2-3 days of consistent play</t>
  </si>
  <si>
    <t xml:space="preserve">Noticeable production boost (+61% output)</t>
  </si>
  <si>
    <t xml:space="preserve">Significant milestone — 2.59x output; weeks of saving</t>
  </si>
  <si>
    <t xml:space="preserve">Major achievement — 4.18x output; dedicated player territory</t>
  </si>
  <si>
    <t xml:space="preserve">Late-game — 6.73x output; corporation-level investment</t>
  </si>
  <si>
    <t xml:space="preserve">Elite tier — 10.83x output; server landmark</t>
  </si>
  <si>
    <t xml:space="preserve">New Player Scenario — Day 1 Farm (Wheat) · Target: $150–$250 Net Profit / First Hour</t>
  </si>
  <si>
    <t xml:space="preserve">Starting Assumptions (all editable)</t>
  </si>
  <si>
    <t xml:space="preserve">Starting Cash</t>
  </si>
  <si>
    <t xml:space="preserve">Farm Purchase Cost</t>
  </si>
  <si>
    <t xml:space="preserve">Seeds Required (per worker slot)</t>
  </si>
  <si>
    <t xml:space="preserve">Seed Price (market rate)</t>
  </si>
  <si>
    <t xml:space="preserve">Water Consumed per Minute</t>
  </si>
  <si>
    <t xml:space="preserve">Water Price (market rate)</t>
  </si>
  <si>
    <t xml:space="preserve">Crop: Wheat NPC Ceiling</t>
  </si>
  <si>
    <t xml:space="preserve">Market Transaction Fee</t>
  </si>
  <si>
    <t xml:space="preserve">Temp Worker Wage ($/hr, Skill 1)</t>
  </si>
  <si>
    <t xml:space="preserve">Hours Modelled</t>
  </si>
  <si>
    <t xml:space="preserve">Upfront Setup Costs</t>
  </si>
  <si>
    <t xml:space="preserve">Farm Purchase</t>
  </si>
  <si>
    <t xml:space="preserve">One-time business purchase</t>
  </si>
  <si>
    <t xml:space="preserve">Seeds (15 x seed price)</t>
  </si>
  <si>
    <t xml:space="preserve">Required before first crop</t>
  </si>
  <si>
    <t xml:space="preserve">Water Stock (1 hr buffer)</t>
  </si>
  <si>
    <t xml:space="preserve">120 units at $0.25 = $30 buffer</t>
  </si>
  <si>
    <t xml:space="preserve">Total Upfront Cost</t>
  </si>
  <si>
    <t xml:space="preserve">Remaining Cash after Setup</t>
  </si>
  <si>
    <t xml:space="preserve">Available for wages + future purchases</t>
  </si>
  <si>
    <t xml:space="preserve">Hourly Profit Breakdown (1 Temp Worker, 1 Farm, Growing Wheat)</t>
  </si>
  <si>
    <t xml:space="preserve">Hour</t>
  </si>
  <si>
    <t xml:space="preserve">Wheat Produced</t>
  </si>
  <si>
    <t xml:space="preserve">Gross Revenue
(at NPC Ceiling)</t>
  </si>
  <si>
    <t xml:space="preserve">Market Fee
(3%)</t>
  </si>
  <si>
    <t xml:space="preserve">Worker Wage</t>
  </si>
  <si>
    <t xml:space="preserve">Water Cost</t>
  </si>
  <si>
    <t xml:space="preserve">Net Profit</t>
  </si>
  <si>
    <t xml:space="preserve">Running Total</t>
  </si>
  <si>
    <t xml:space="preserve">Hour 1</t>
  </si>
  <si>
    <t xml:space="preserve">Hour 2</t>
  </si>
  <si>
    <t xml:space="preserve">Hour 3</t>
  </si>
  <si>
    <t xml:space="preserve">Hour 4</t>
  </si>
  <si>
    <t xml:space="preserve">Summary Notes</t>
  </si>
  <si>
    <t xml:space="preserve">  • Net profit per hour is approximately $162–$168 depending on market fee rounding. This lands squarely in the $150–$250 target range.</t>
  </si>
  <si>
    <t xml:space="preserve">  • Water is the biggest recurring cost ($30/hr). Players who set up a Water Company (or buy a contract) early gain a meaningful edge.</t>
  </si>
  <si>
    <t xml:space="preserve">  • Temp Worker rests after 4 hours. Player must re-activate or hire a second worker to maintain 24/7 production.</t>
  </si>
  <si>
    <t xml:space="preserve">  • After Hour 4, the player has ~$2,078 saved — enough to buy a second Farm ($2,500) with one more hour of savings, or a Sawmill ($4,000) after ~10 hours.</t>
  </si>
  <si>
    <t xml:space="preserve">  • Selling wheat on the market vs. to a store: Market is slower (NPC buy rate 180/hr for wheat), but all 60/hr production is well within absorption capacity on a small server.</t>
  </si>
  <si>
    <t xml:space="preserve">Supply Chain Costs — Full Input/Output Cost Breakdown for 4 Core Chains</t>
  </si>
  <si>
    <t xml:space="preserve">All prices reference NPC Ceilings from the Resource Prices sheet. Assumes Standard Quality (1.0x multiplier). Wage = Temp Worker at Skill 1 ($13/hr = $2.17/10-min tick).</t>
  </si>
  <si>
    <t xml:space="preserve">Chain 1: Logging → Sawmill → Carpentry → Furniture Store  (Chair)</t>
  </si>
  <si>
    <t xml:space="preserve">Step / Business</t>
  </si>
  <si>
    <t xml:space="preserve">Production Note</t>
  </si>
  <si>
    <t xml:space="preserve">Inputs Required</t>
  </si>
  <si>
    <t xml:space="preserve">Output</t>
  </si>
  <si>
    <t xml:space="preserve">Wage Cost
($/tick)</t>
  </si>
  <si>
    <t xml:space="preserve">Margin Notes</t>
  </si>
  <si>
    <t xml:space="preserve">1 worker, 10 min</t>
  </si>
  <si>
    <t xml:space="preserve">None</t>
  </si>
  <si>
    <t xml:space="preserve">10 Raw Wood</t>
  </si>
  <si>
    <t xml:space="preserve">10 × $1.80 = $18.00 value</t>
  </si>
  <si>
    <t xml:space="preserve">1 Raw Wood</t>
  </si>
  <si>
    <t xml:space="preserve">10 Wood Plank</t>
  </si>
  <si>
    <t xml:space="preserve">Input $1.80, Output $12.00</t>
  </si>
  <si>
    <t xml:space="preserve">Carpentry</t>
  </si>
  <si>
    <t xml:space="preserve">1 Chair</t>
  </si>
  <si>
    <t xml:space="preserve">Input $12, Output $45.00</t>
  </si>
  <si>
    <t xml:space="preserve">Furniture Store</t>
  </si>
  <si>
    <t xml:space="preserve">Ongoing</t>
  </si>
  <si>
    <t xml:space="preserve">Revenue</t>
  </si>
  <si>
    <t xml:space="preserve">NPC ceiling $45; Specialty Store +15% = $51.75</t>
  </si>
  <si>
    <t xml:space="preserve">Chain 2: Mine (Iron) + Mine (Coal) → Metalworking → Pickaxe Market</t>
  </si>
  <si>
    <t xml:space="preserve">Pickaxe (degrades ~$0.56/10min)</t>
  </si>
  <si>
    <t xml:space="preserve">10 Iron Ore</t>
  </si>
  <si>
    <t xml:space="preserve">Tool cost: $28 / 500 uses ≈ $0.056/use</t>
  </si>
  <si>
    <t xml:space="preserve">Mine (Coal)</t>
  </si>
  <si>
    <t xml:space="preserve">10 Coal</t>
  </si>
  <si>
    <t xml:space="preserve">Metalworking</t>
  </si>
  <si>
    <t xml:space="preserve">Steel Bar recipe</t>
  </si>
  <si>
    <t xml:space="preserve">5 Iron Ore + 2 Coal</t>
  </si>
  <si>
    <t xml:space="preserve">3 Steel Bar</t>
  </si>
  <si>
    <t xml:space="preserve">Input $13, Output $24</t>
  </si>
  <si>
    <t xml:space="preserve">Pickaxe recipe</t>
  </si>
  <si>
    <t xml:space="preserve">3 Iron Bar + 1 Wood Handle</t>
  </si>
  <si>
    <t xml:space="preserve">1 Pickaxe</t>
  </si>
  <si>
    <t xml:space="preserve">Input $20.50, Output $28; Margin $5.33</t>
  </si>
  <si>
    <t xml:space="preserve">Market (Pickaxe)</t>
  </si>
  <si>
    <t xml:space="preserve">Listed for sale</t>
  </si>
  <si>
    <t xml:space="preserve">Cash</t>
  </si>
  <si>
    <t xml:space="preserve">NPC buys ~36/hr; steady recurring demand</t>
  </si>
  <si>
    <t xml:space="preserve">Chain 3: Farm (Wheat) + Water Company → Food Processing → Market (Flour)</t>
  </si>
  <si>
    <t xml:space="preserve">10 Water</t>
  </si>
  <si>
    <t xml:space="preserve">Cheapest Tier 1 startup ($2,000)</t>
  </si>
  <si>
    <t xml:space="preserve">Seeds(15)+Water(20/tick)</t>
  </si>
  <si>
    <t xml:space="preserve">10 Wheat</t>
  </si>
  <si>
    <t xml:space="preserve">Water consumed: 2/min × 10min = 20 units</t>
  </si>
  <si>
    <t xml:space="preserve">Food Processing</t>
  </si>
  <si>
    <t xml:space="preserve">10 Wheat + 5 Water</t>
  </si>
  <si>
    <t xml:space="preserve">100 Flour</t>
  </si>
  <si>
    <t xml:space="preserve">Input $31.25, Output $80; excellent margin</t>
  </si>
  <si>
    <t xml:space="preserve">Market (Flour)</t>
  </si>
  <si>
    <t xml:space="preserve">NPC ceiling $0.80/unit; 360 NPC buys/hr</t>
  </si>
  <si>
    <t xml:space="preserve">Chain 4: Farm (Grape) + Water + Carpentry (Barrels) → Winery → Liquor Store</t>
  </si>
  <si>
    <t xml:space="preserve">Farm (Red Grape)</t>
  </si>
  <si>
    <t xml:space="preserve">Seeds+Water(20/tick)</t>
  </si>
  <si>
    <t xml:space="preserve">10 Red Grape</t>
  </si>
  <si>
    <t xml:space="preserve">Water cost: 20 units × $0.25 = $5.00</t>
  </si>
  <si>
    <t xml:space="preserve">Feeds both Farm and Winery</t>
  </si>
  <si>
    <t xml:space="preserve">20 Plank → 2 Barrels</t>
  </si>
  <si>
    <t xml:space="preserve">20 Wood Plank</t>
  </si>
  <si>
    <t xml:space="preserve">2 Barrels</t>
  </si>
  <si>
    <t xml:space="preserve">Input $24, Output $32; 5 Carpentry shops ≈ 1 Winery</t>
  </si>
  <si>
    <t xml:space="preserve">Winery</t>
  </si>
  <si>
    <t xml:space="preserve">Per 10-min tick</t>
  </si>
  <si>
    <t xml:space="preserve">1 Grape+5 Water+2 Barrels</t>
  </si>
  <si>
    <t xml:space="preserve">35 Red Wine</t>
  </si>
  <si>
    <t xml:space="preserve">Input $35.75, Output $280; net $242/tick</t>
  </si>
  <si>
    <t xml:space="preserve">Liquor Store</t>
  </si>
  <si>
    <t xml:space="preserve">Specialty Liquor Store: +15% = $9.20/bottle ceiling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</si>
</sst>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"/>
    <numFmt numFmtId="166" formatCode="0.00\x"/>
    <numFmt numFmtId="167" formatCode="\$#,##0.00;&quot;($&quot;#,##0.00\)"/>
    <numFmt numFmtId="168" formatCode="0.0%"/>
    <numFmt numFmtId="169" formatCode="#,##0"/>
    <numFmt numFmtId="170" formatCode="#,##0.0"/>
    <numFmt numFmtId="171" formatCode="\$#,##0"/>
    <numFmt numFmtId="172" formatCode="0.000\x"/>
    <numFmt numFmtId="173" formatCode="0.0&quot; hrs&quot;"/>
    <numFmt numFmtId="174" formatCode="0.0&quot; days&quot;"/>
    <numFmt numFmtId="175" formatCode="#,##0&quot; units&quot;"/>
    <numFmt numFmtId="176" formatCode="0%"/>
    <numFmt numFmtId="177" formatCode="#,##0&quot; hrs&quot;"/>
    <numFmt numFmtId="178" formatCode="&quot;($&quot;#,##0.00\)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E651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1A6B3C"/>
      <name val="Arial"/>
      <family val="0"/>
      <charset val="1"/>
    </font>
    <font>
      <sz val="10"/>
      <color rgb="FFC62828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6B3C"/>
        <bgColor rgb="FF00695C"/>
      </patternFill>
    </fill>
    <fill>
      <patternFill patternType="solid">
        <fgColor rgb="FF2E8B57"/>
        <bgColor rgb="FF1A6B3C"/>
      </patternFill>
    </fill>
    <fill>
      <patternFill patternType="solid">
        <fgColor rgb="FFFFFFFF"/>
        <bgColor rgb="FFF9F9F9"/>
      </patternFill>
    </fill>
    <fill>
      <patternFill patternType="solid">
        <fgColor rgb="FFF7F7F7"/>
        <bgColor rgb="FFF9F9F9"/>
      </patternFill>
    </fill>
    <fill>
      <patternFill patternType="solid">
        <fgColor rgb="FF4A4A4A"/>
        <bgColor rgb="FF444444"/>
      </patternFill>
    </fill>
    <fill>
      <patternFill patternType="solid">
        <fgColor rgb="FFFFF3CD"/>
        <bgColor rgb="FFFFF9C4"/>
      </patternFill>
    </fill>
    <fill>
      <patternFill patternType="solid">
        <fgColor rgb="FFD4EDDA"/>
        <bgColor rgb="FFE0F2F1"/>
      </patternFill>
    </fill>
    <fill>
      <patternFill patternType="solid">
        <fgColor rgb="FFEAF4FB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0F2F1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FFF3E0"/>
        <bgColor rgb="FFFFF8E1"/>
      </patternFill>
    </fill>
    <fill>
      <patternFill patternType="solid">
        <fgColor rgb="FFEFEBE9"/>
        <bgColor rgb="FFF3E5F5"/>
      </patternFill>
    </fill>
    <fill>
      <patternFill patternType="solid">
        <fgColor rgb="FFE0F2F1"/>
        <bgColor rgb="FFE3F2FD"/>
      </patternFill>
    </fill>
    <fill>
      <patternFill patternType="solid">
        <fgColor rgb="FFF8EAD8"/>
        <bgColor rgb="FFEFEBE9"/>
      </patternFill>
    </fill>
    <fill>
      <patternFill patternType="solid">
        <fgColor rgb="FFFFF0F0"/>
        <bgColor rgb="FFFFF3E0"/>
      </patternFill>
    </fill>
    <fill>
      <patternFill patternType="solid">
        <fgColor rgb="FFFFF9C4"/>
        <bgColor rgb="FFFFF3CD"/>
      </patternFill>
    </fill>
    <fill>
      <patternFill patternType="solid">
        <fgColor rgb="FFE3F2FD"/>
        <bgColor rgb="FFEAF4FB"/>
      </patternFill>
    </fill>
    <fill>
      <patternFill patternType="solid">
        <fgColor rgb="FFF2FAF5"/>
        <bgColor rgb="FFF7F7F7"/>
      </patternFill>
    </fill>
    <fill>
      <patternFill patternType="solid">
        <fgColor rgb="FFF9F9F9"/>
        <bgColor rgb="FFF7F7F7"/>
      </patternFill>
    </fill>
    <fill>
      <patternFill patternType="solid">
        <fgColor rgb="FF00695C"/>
        <bgColor rgb="FF1A6B3C"/>
      </patternFill>
    </fill>
    <fill>
      <patternFill patternType="solid">
        <fgColor rgb="FF1565C0"/>
        <bgColor rgb="FF00695C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C6282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A6B3C"/>
      </left>
      <right style="medium">
        <color rgb="FF1A6B3C"/>
      </right>
      <top style="medium">
        <color rgb="FF1A6B3C"/>
      </top>
      <bottom style="medium">
        <color rgb="FF1A6B3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6B3C"/>
      </left>
      <right/>
      <top style="medium">
        <color rgb="FF1A6B3C"/>
      </top>
      <bottom style="medium">
        <color rgb="FF1A6B3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1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2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9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62828"/>
      <rgbColor rgb="FF00FF00"/>
      <rgbColor rgb="FF0000FF"/>
      <rgbColor rgb="FFFFF8E1"/>
      <rgbColor rgb="FFFF00FF"/>
      <rgbColor rgb="FF00FFFF"/>
      <rgbColor rgb="FF800000"/>
      <rgbColor rgb="FF008000"/>
      <rgbColor rgb="FF000080"/>
      <rgbColor rgb="FF555555"/>
      <rgbColor rgb="FF6A1B9A"/>
      <rgbColor rgb="FF00695C"/>
      <rgbColor rgb="FFCCCCCC"/>
      <rgbColor rgb="FF888888"/>
      <rgbColor rgb="FFE8F5E9"/>
      <rgbColor rgb="FF9C27B0"/>
      <rgbColor rgb="FFFFF9C4"/>
      <rgbColor rgb="FFE0F2F1"/>
      <rgbColor rgb="FF660066"/>
      <rgbColor rgb="FFF44336"/>
      <rgbColor rgb="FF1565C0"/>
      <rgbColor rgb="FFF3E5F5"/>
      <rgbColor rgb="FF000080"/>
      <rgbColor rgb="FFFF00FF"/>
      <rgbColor rgb="FFFFF3E0"/>
      <rgbColor rgb="FF00FFFF"/>
      <rgbColor rgb="FF800080"/>
      <rgbColor rgb="FF800000"/>
      <rgbColor rgb="FF1A6B3C"/>
      <rgbColor rgb="FF0000FF"/>
      <rgbColor rgb="FF00BCD4"/>
      <rgbColor rgb="FFE3F2FD"/>
      <rgbColor rgb="FFD4EDDA"/>
      <rgbColor rgb="FFFFF3CD"/>
      <rgbColor rgb="FFEFEBE9"/>
      <rgbColor rgb="FFFCE4EC"/>
      <rgbColor rgb="FFEAF4FB"/>
      <rgbColor rgb="FFF8EAD8"/>
      <rgbColor rgb="FF2196F3"/>
      <rgbColor rgb="FFF9F9F9"/>
      <rgbColor rgb="FFF2FAF5"/>
      <rgbColor rgb="FFFFF0F0"/>
      <rgbColor rgb="FFFF9800"/>
      <rgbColor rgb="FFE65100"/>
      <rgbColor rgb="FF666666"/>
      <rgbColor rgb="FFF7F7F7"/>
      <rgbColor rgb="FF003366"/>
      <rgbColor rgb="FF2E8B57"/>
      <rgbColor rgb="FF003300"/>
      <rgbColor rgb="FF444444"/>
      <rgbColor rgb="FFBF360C"/>
      <rgbColor rgb="FF795548"/>
      <rgbColor rgb="FF4A4A4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7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25</v>
      </c>
    </row>
    <row r="12" customFormat="false" ht="15" hidden="false" customHeight="false" outlineLevel="0" collapsed="false">
      <c r="A12" s="6" t="s">
        <v>26</v>
      </c>
      <c r="B12" s="7" t="s">
        <v>27</v>
      </c>
      <c r="C12" s="7" t="s">
        <v>28</v>
      </c>
    </row>
    <row r="14" customFormat="false" ht="15" hidden="false" customHeight="true" outlineLevel="0" collapsed="false">
      <c r="A14" s="8" t="s">
        <v>29</v>
      </c>
      <c r="B14" s="8"/>
      <c r="C14" s="8"/>
    </row>
    <row r="15" customFormat="false" ht="15" hidden="false" customHeight="false" outlineLevel="0" collapsed="false">
      <c r="A15" s="9" t="s">
        <v>30</v>
      </c>
      <c r="B15" s="5" t="s">
        <v>31</v>
      </c>
      <c r="C15" s="10"/>
    </row>
    <row r="16" customFormat="false" ht="15" hidden="false" customHeight="false" outlineLevel="0" collapsed="false">
      <c r="A16" s="11" t="s">
        <v>32</v>
      </c>
      <c r="B16" s="5" t="s">
        <v>33</v>
      </c>
      <c r="C16" s="10"/>
    </row>
    <row r="17" customFormat="false" ht="15" hidden="false" customHeight="false" outlineLevel="0" collapsed="false">
      <c r="A17" s="12" t="s">
        <v>34</v>
      </c>
      <c r="B17" s="5" t="s">
        <v>35</v>
      </c>
      <c r="C17" s="10"/>
    </row>
    <row r="18" customFormat="false" ht="15" hidden="false" customHeight="false" outlineLevel="0" collapsed="false">
      <c r="A18" s="13" t="s">
        <v>36</v>
      </c>
      <c r="B18" s="5" t="s">
        <v>37</v>
      </c>
      <c r="C18" s="10"/>
    </row>
    <row r="19" customFormat="false" ht="15" hidden="false" customHeight="false" outlineLevel="0" collapsed="false">
      <c r="A19" s="14" t="s">
        <v>38</v>
      </c>
      <c r="B19" s="5" t="s">
        <v>39</v>
      </c>
      <c r="C19" s="10"/>
    </row>
    <row r="20" customFormat="false" ht="15" hidden="false" customHeight="false" outlineLevel="0" collapsed="false">
      <c r="A20" s="15" t="s">
        <v>40</v>
      </c>
      <c r="B20" s="5" t="s">
        <v>41</v>
      </c>
      <c r="C20" s="10"/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6" t="s">
        <v>42</v>
      </c>
      <c r="B1" s="16"/>
      <c r="C1" s="16"/>
      <c r="D1" s="16"/>
      <c r="E1" s="16"/>
      <c r="F1" s="16"/>
      <c r="G1" s="16"/>
      <c r="H1" s="16"/>
    </row>
    <row r="3" customFormat="false" ht="26.85" hidden="false" customHeight="false" outlineLevel="0" collapsed="false">
      <c r="A3" s="17" t="s">
        <v>43</v>
      </c>
      <c r="B3" s="17" t="s">
        <v>44</v>
      </c>
      <c r="C3" s="17" t="s">
        <v>45</v>
      </c>
      <c r="D3" s="17" t="s">
        <v>46</v>
      </c>
      <c r="E3" s="17" t="s">
        <v>47</v>
      </c>
      <c r="F3" s="3" t="s">
        <v>48</v>
      </c>
      <c r="G3" s="3" t="s">
        <v>49</v>
      </c>
      <c r="H3" s="3" t="s">
        <v>50</v>
      </c>
    </row>
    <row r="4" customFormat="false" ht="15" hidden="false" customHeight="false" outlineLevel="0" collapsed="false">
      <c r="A4" s="18" t="s">
        <v>51</v>
      </c>
      <c r="B4" s="19" t="s">
        <v>52</v>
      </c>
      <c r="C4" s="20" t="s">
        <v>53</v>
      </c>
      <c r="D4" s="21" t="n">
        <v>2</v>
      </c>
      <c r="E4" s="22" t="s">
        <v>54</v>
      </c>
      <c r="F4" s="7" t="s">
        <v>55</v>
      </c>
      <c r="G4" s="23" t="s">
        <v>56</v>
      </c>
      <c r="H4" s="24" t="n">
        <v>0.7</v>
      </c>
    </row>
    <row r="5" customFormat="false" ht="15" hidden="false" customHeight="false" outlineLevel="0" collapsed="false">
      <c r="A5" s="18" t="s">
        <v>57</v>
      </c>
      <c r="B5" s="19" t="s">
        <v>52</v>
      </c>
      <c r="C5" s="20" t="s">
        <v>53</v>
      </c>
      <c r="D5" s="21" t="n">
        <v>1.5</v>
      </c>
      <c r="E5" s="22" t="s">
        <v>58</v>
      </c>
      <c r="F5" s="5" t="s">
        <v>59</v>
      </c>
      <c r="G5" s="4" t="s">
        <v>60</v>
      </c>
      <c r="H5" s="25" t="n">
        <v>1</v>
      </c>
    </row>
    <row r="6" customFormat="false" ht="15" hidden="false" customHeight="false" outlineLevel="0" collapsed="false">
      <c r="A6" s="18" t="s">
        <v>61</v>
      </c>
      <c r="B6" s="19" t="s">
        <v>52</v>
      </c>
      <c r="C6" s="20" t="s">
        <v>53</v>
      </c>
      <c r="D6" s="21" t="n">
        <v>2.8</v>
      </c>
      <c r="E6" s="22" t="s">
        <v>62</v>
      </c>
      <c r="F6" s="7" t="s">
        <v>63</v>
      </c>
      <c r="G6" s="6" t="s">
        <v>64</v>
      </c>
      <c r="H6" s="24" t="n">
        <v>1.25</v>
      </c>
    </row>
    <row r="7" customFormat="false" ht="15" hidden="false" customHeight="false" outlineLevel="0" collapsed="false">
      <c r="A7" s="18" t="s">
        <v>65</v>
      </c>
      <c r="B7" s="19" t="s">
        <v>52</v>
      </c>
      <c r="C7" s="20" t="s">
        <v>53</v>
      </c>
      <c r="D7" s="21" t="n">
        <v>0.8</v>
      </c>
      <c r="E7" s="22" t="s">
        <v>66</v>
      </c>
      <c r="F7" s="5" t="s">
        <v>67</v>
      </c>
      <c r="G7" s="4" t="s">
        <v>68</v>
      </c>
      <c r="H7" s="25" t="n">
        <v>1.6</v>
      </c>
    </row>
    <row r="8" customFormat="false" ht="15" hidden="false" customHeight="false" outlineLevel="0" collapsed="false">
      <c r="A8" s="26" t="s">
        <v>69</v>
      </c>
      <c r="B8" s="27" t="s">
        <v>70</v>
      </c>
      <c r="C8" s="28" t="s">
        <v>53</v>
      </c>
      <c r="D8" s="21" t="n">
        <v>4</v>
      </c>
      <c r="E8" s="29" t="s">
        <v>71</v>
      </c>
      <c r="F8" s="7" t="s">
        <v>72</v>
      </c>
      <c r="G8" s="6" t="s">
        <v>73</v>
      </c>
      <c r="H8" s="24" t="n">
        <v>2.2</v>
      </c>
    </row>
    <row r="9" customFormat="false" ht="15" hidden="false" customHeight="false" outlineLevel="0" collapsed="false">
      <c r="A9" s="30" t="s">
        <v>74</v>
      </c>
      <c r="B9" s="31" t="s">
        <v>75</v>
      </c>
      <c r="C9" s="32" t="s">
        <v>53</v>
      </c>
      <c r="D9" s="21" t="n">
        <v>1.8</v>
      </c>
      <c r="E9" s="33" t="s">
        <v>76</v>
      </c>
      <c r="F9" s="10"/>
      <c r="G9" s="10"/>
      <c r="H9" s="10"/>
    </row>
    <row r="10" customFormat="false" ht="15" hidden="false" customHeight="false" outlineLevel="0" collapsed="false">
      <c r="A10" s="30" t="s">
        <v>77</v>
      </c>
      <c r="B10" s="31" t="s">
        <v>75</v>
      </c>
      <c r="C10" s="32" t="s">
        <v>53</v>
      </c>
      <c r="D10" s="21" t="n">
        <v>0.25</v>
      </c>
      <c r="E10" s="33" t="s">
        <v>78</v>
      </c>
      <c r="F10" s="10"/>
      <c r="G10" s="10"/>
      <c r="H10" s="10"/>
    </row>
    <row r="11" customFormat="false" ht="15" hidden="false" customHeight="false" outlineLevel="0" collapsed="false">
      <c r="A11" s="34" t="s">
        <v>79</v>
      </c>
      <c r="B11" s="35" t="s">
        <v>80</v>
      </c>
      <c r="C11" s="36" t="s">
        <v>53</v>
      </c>
      <c r="D11" s="21" t="n">
        <v>2.5</v>
      </c>
      <c r="E11" s="37" t="s">
        <v>81</v>
      </c>
      <c r="F11" s="10"/>
      <c r="G11" s="10"/>
      <c r="H11" s="10"/>
    </row>
    <row r="12" customFormat="false" ht="15" hidden="false" customHeight="false" outlineLevel="0" collapsed="false">
      <c r="A12" s="34" t="s">
        <v>82</v>
      </c>
      <c r="B12" s="35" t="s">
        <v>80</v>
      </c>
      <c r="C12" s="36" t="s">
        <v>53</v>
      </c>
      <c r="D12" s="21" t="n">
        <v>3</v>
      </c>
      <c r="E12" s="37" t="s">
        <v>83</v>
      </c>
      <c r="F12" s="10"/>
      <c r="G12" s="10"/>
      <c r="H12" s="10"/>
    </row>
    <row r="13" customFormat="false" ht="15" hidden="false" customHeight="false" outlineLevel="0" collapsed="false">
      <c r="A13" s="34" t="s">
        <v>84</v>
      </c>
      <c r="B13" s="35" t="s">
        <v>80</v>
      </c>
      <c r="C13" s="36" t="s">
        <v>53</v>
      </c>
      <c r="D13" s="21" t="n">
        <v>2</v>
      </c>
      <c r="E13" s="37" t="s">
        <v>85</v>
      </c>
      <c r="F13" s="10"/>
      <c r="G13" s="10"/>
      <c r="H13" s="10"/>
    </row>
    <row r="14" customFormat="false" ht="15" hidden="false" customHeight="false" outlineLevel="0" collapsed="false">
      <c r="A14" s="34" t="s">
        <v>86</v>
      </c>
      <c r="B14" s="35" t="s">
        <v>80</v>
      </c>
      <c r="C14" s="36" t="s">
        <v>53</v>
      </c>
      <c r="D14" s="21" t="n">
        <v>2.2</v>
      </c>
      <c r="E14" s="37" t="s">
        <v>87</v>
      </c>
      <c r="F14" s="10"/>
      <c r="G14" s="10"/>
      <c r="H14" s="10"/>
    </row>
    <row r="15" customFormat="false" ht="15" hidden="false" customHeight="false" outlineLevel="0" collapsed="false">
      <c r="A15" s="34" t="s">
        <v>88</v>
      </c>
      <c r="B15" s="35" t="s">
        <v>80</v>
      </c>
      <c r="C15" s="36" t="s">
        <v>53</v>
      </c>
      <c r="D15" s="21" t="n">
        <v>2.8</v>
      </c>
      <c r="E15" s="37" t="s">
        <v>89</v>
      </c>
      <c r="F15" s="10"/>
      <c r="G15" s="10"/>
      <c r="H15" s="10"/>
    </row>
    <row r="16" customFormat="false" ht="15" hidden="false" customHeight="false" outlineLevel="0" collapsed="false">
      <c r="A16" s="34" t="s">
        <v>90</v>
      </c>
      <c r="B16" s="35" t="s">
        <v>80</v>
      </c>
      <c r="C16" s="36" t="s">
        <v>53</v>
      </c>
      <c r="D16" s="21" t="n">
        <v>3.5</v>
      </c>
      <c r="E16" s="37" t="s">
        <v>91</v>
      </c>
      <c r="F16" s="10"/>
      <c r="G16" s="10"/>
      <c r="H16" s="10"/>
    </row>
    <row r="17" customFormat="false" ht="15" hidden="false" customHeight="false" outlineLevel="0" collapsed="false">
      <c r="A17" s="38" t="s">
        <v>92</v>
      </c>
      <c r="B17" s="39" t="s">
        <v>93</v>
      </c>
      <c r="C17" s="40" t="s">
        <v>53</v>
      </c>
      <c r="D17" s="21" t="n">
        <v>0.8</v>
      </c>
      <c r="E17" s="41" t="s">
        <v>94</v>
      </c>
      <c r="F17" s="10"/>
      <c r="G17" s="10"/>
      <c r="H17" s="10"/>
    </row>
    <row r="18" customFormat="false" ht="15" hidden="false" customHeight="false" outlineLevel="0" collapsed="false">
      <c r="A18" s="42" t="s">
        <v>95</v>
      </c>
      <c r="B18" s="43" t="s">
        <v>96</v>
      </c>
      <c r="C18" s="44" t="s">
        <v>97</v>
      </c>
      <c r="D18" s="21" t="n">
        <v>1.2</v>
      </c>
      <c r="E18" s="45" t="s">
        <v>98</v>
      </c>
      <c r="F18" s="10"/>
      <c r="G18" s="10"/>
      <c r="H18" s="10"/>
    </row>
    <row r="19" customFormat="false" ht="15" hidden="false" customHeight="false" outlineLevel="0" collapsed="false">
      <c r="A19" s="42" t="s">
        <v>99</v>
      </c>
      <c r="B19" s="43" t="s">
        <v>96</v>
      </c>
      <c r="C19" s="44" t="s">
        <v>97</v>
      </c>
      <c r="D19" s="21" t="n">
        <v>5.5</v>
      </c>
      <c r="E19" s="45" t="s">
        <v>100</v>
      </c>
      <c r="F19" s="10"/>
      <c r="G19" s="10"/>
      <c r="H19" s="10"/>
    </row>
    <row r="20" customFormat="false" ht="15" hidden="false" customHeight="false" outlineLevel="0" collapsed="false">
      <c r="A20" s="42" t="s">
        <v>101</v>
      </c>
      <c r="B20" s="43" t="s">
        <v>96</v>
      </c>
      <c r="C20" s="44" t="s">
        <v>97</v>
      </c>
      <c r="D20" s="21" t="n">
        <v>16</v>
      </c>
      <c r="E20" s="45" t="s">
        <v>102</v>
      </c>
      <c r="F20" s="10"/>
      <c r="G20" s="10"/>
      <c r="H20" s="10"/>
    </row>
    <row r="21" customFormat="false" ht="15" hidden="false" customHeight="false" outlineLevel="0" collapsed="false">
      <c r="A21" s="42" t="s">
        <v>103</v>
      </c>
      <c r="B21" s="43" t="s">
        <v>96</v>
      </c>
      <c r="C21" s="44" t="s">
        <v>97</v>
      </c>
      <c r="D21" s="21" t="n">
        <v>5</v>
      </c>
      <c r="E21" s="45" t="s">
        <v>104</v>
      </c>
      <c r="F21" s="10"/>
      <c r="G21" s="10"/>
      <c r="H21" s="10"/>
    </row>
    <row r="22" customFormat="false" ht="15" hidden="false" customHeight="false" outlineLevel="0" collapsed="false">
      <c r="A22" s="42" t="s">
        <v>105</v>
      </c>
      <c r="B22" s="43" t="s">
        <v>96</v>
      </c>
      <c r="C22" s="44" t="s">
        <v>97</v>
      </c>
      <c r="D22" s="21" t="n">
        <v>8</v>
      </c>
      <c r="E22" s="45" t="s">
        <v>106</v>
      </c>
      <c r="F22" s="10"/>
      <c r="G22" s="10"/>
      <c r="H22" s="10"/>
    </row>
    <row r="23" customFormat="false" ht="15" hidden="false" customHeight="false" outlineLevel="0" collapsed="false">
      <c r="A23" s="42" t="s">
        <v>107</v>
      </c>
      <c r="B23" s="43" t="s">
        <v>96</v>
      </c>
      <c r="C23" s="44" t="s">
        <v>97</v>
      </c>
      <c r="D23" s="21" t="n">
        <v>35</v>
      </c>
      <c r="E23" s="45" t="s">
        <v>108</v>
      </c>
      <c r="F23" s="10"/>
      <c r="G23" s="10"/>
      <c r="H23" s="10"/>
    </row>
    <row r="24" customFormat="false" ht="15" hidden="false" customHeight="false" outlineLevel="0" collapsed="false">
      <c r="A24" s="42" t="s">
        <v>109</v>
      </c>
      <c r="B24" s="43" t="s">
        <v>96</v>
      </c>
      <c r="C24" s="44" t="s">
        <v>97</v>
      </c>
      <c r="D24" s="21" t="n">
        <v>0.8</v>
      </c>
      <c r="E24" s="45" t="s">
        <v>110</v>
      </c>
      <c r="F24" s="10"/>
      <c r="G24" s="10"/>
      <c r="H24" s="10"/>
    </row>
    <row r="25" customFormat="false" ht="15" hidden="false" customHeight="false" outlineLevel="0" collapsed="false">
      <c r="A25" s="42" t="s">
        <v>111</v>
      </c>
      <c r="B25" s="43" t="s">
        <v>96</v>
      </c>
      <c r="C25" s="44" t="s">
        <v>97</v>
      </c>
      <c r="D25" s="21" t="n">
        <v>0.7</v>
      </c>
      <c r="E25" s="45" t="s">
        <v>112</v>
      </c>
      <c r="F25" s="10"/>
      <c r="G25" s="10"/>
      <c r="H25" s="10"/>
    </row>
    <row r="26" customFormat="false" ht="15" hidden="false" customHeight="false" outlineLevel="0" collapsed="false">
      <c r="A26" s="46" t="s">
        <v>113</v>
      </c>
      <c r="B26" s="47" t="s">
        <v>114</v>
      </c>
      <c r="C26" s="48" t="s">
        <v>97</v>
      </c>
      <c r="D26" s="21" t="n">
        <v>28</v>
      </c>
      <c r="E26" s="49" t="s">
        <v>115</v>
      </c>
      <c r="F26" s="10"/>
      <c r="G26" s="10"/>
      <c r="H26" s="10"/>
    </row>
    <row r="27" customFormat="false" ht="15" hidden="false" customHeight="false" outlineLevel="0" collapsed="false">
      <c r="A27" s="46" t="s">
        <v>116</v>
      </c>
      <c r="B27" s="47" t="s">
        <v>114</v>
      </c>
      <c r="C27" s="48" t="s">
        <v>97</v>
      </c>
      <c r="D27" s="21" t="n">
        <v>24</v>
      </c>
      <c r="E27" s="49" t="s">
        <v>117</v>
      </c>
      <c r="F27" s="10"/>
      <c r="G27" s="10"/>
      <c r="H27" s="10"/>
    </row>
    <row r="28" customFormat="false" ht="15" hidden="false" customHeight="false" outlineLevel="0" collapsed="false">
      <c r="A28" s="46" t="s">
        <v>118</v>
      </c>
      <c r="B28" s="47" t="s">
        <v>114</v>
      </c>
      <c r="C28" s="48" t="s">
        <v>97</v>
      </c>
      <c r="D28" s="21" t="n">
        <v>45</v>
      </c>
      <c r="E28" s="49" t="s">
        <v>119</v>
      </c>
      <c r="F28" s="10"/>
      <c r="G28" s="10"/>
      <c r="H28" s="10"/>
    </row>
    <row r="29" customFormat="false" ht="15" hidden="false" customHeight="false" outlineLevel="0" collapsed="false">
      <c r="A29" s="50" t="s">
        <v>120</v>
      </c>
      <c r="B29" s="51" t="s">
        <v>121</v>
      </c>
      <c r="C29" s="52" t="s">
        <v>122</v>
      </c>
      <c r="D29" s="21" t="n">
        <v>45</v>
      </c>
      <c r="E29" s="53" t="s">
        <v>123</v>
      </c>
      <c r="F29" s="10"/>
      <c r="G29" s="10"/>
      <c r="H29" s="10"/>
    </row>
    <row r="30" customFormat="false" ht="15" hidden="false" customHeight="false" outlineLevel="0" collapsed="false">
      <c r="A30" s="50" t="s">
        <v>124</v>
      </c>
      <c r="B30" s="51" t="s">
        <v>121</v>
      </c>
      <c r="C30" s="52" t="s">
        <v>122</v>
      </c>
      <c r="D30" s="21" t="n">
        <v>120</v>
      </c>
      <c r="E30" s="53" t="s">
        <v>125</v>
      </c>
      <c r="F30" s="10"/>
      <c r="G30" s="10"/>
      <c r="H30" s="10"/>
    </row>
    <row r="31" customFormat="false" ht="15" hidden="false" customHeight="false" outlineLevel="0" collapsed="false">
      <c r="A31" s="54" t="s">
        <v>126</v>
      </c>
      <c r="B31" s="55" t="s">
        <v>127</v>
      </c>
      <c r="C31" s="56" t="s">
        <v>122</v>
      </c>
      <c r="D31" s="21" t="n">
        <v>8</v>
      </c>
      <c r="E31" s="57" t="s">
        <v>128</v>
      </c>
      <c r="F31" s="10"/>
      <c r="G31" s="10"/>
      <c r="H31" s="10"/>
    </row>
    <row r="32" customFormat="false" ht="15" hidden="false" customHeight="false" outlineLevel="0" collapsed="false">
      <c r="A32" s="54" t="s">
        <v>129</v>
      </c>
      <c r="B32" s="55" t="s">
        <v>127</v>
      </c>
      <c r="C32" s="56" t="s">
        <v>122</v>
      </c>
      <c r="D32" s="21" t="n">
        <v>10</v>
      </c>
      <c r="E32" s="57" t="s">
        <v>130</v>
      </c>
      <c r="F32" s="10"/>
      <c r="G32" s="10"/>
      <c r="H32" s="10"/>
    </row>
    <row r="33" customFormat="false" ht="15" hidden="false" customHeight="false" outlineLevel="0" collapsed="false">
      <c r="A33" s="54" t="s">
        <v>131</v>
      </c>
      <c r="B33" s="55" t="s">
        <v>127</v>
      </c>
      <c r="C33" s="56" t="s">
        <v>122</v>
      </c>
      <c r="D33" s="21" t="n">
        <v>9</v>
      </c>
      <c r="E33" s="57" t="s">
        <v>132</v>
      </c>
      <c r="F33" s="10"/>
      <c r="G33" s="10"/>
      <c r="H33" s="1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0"/>
  </cols>
  <sheetData>
    <row r="1" customFormat="false" ht="24" hidden="false" customHeight="true" outlineLevel="0" collapsed="false">
      <c r="A1" s="16" t="s">
        <v>133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58" t="s">
        <v>134</v>
      </c>
      <c r="B3" s="58"/>
      <c r="C3" s="59" t="n">
        <v>13</v>
      </c>
      <c r="D3" s="60" t="s">
        <v>135</v>
      </c>
    </row>
    <row r="4" customFormat="false" ht="15" hidden="false" customHeight="false" outlineLevel="0" collapsed="false">
      <c r="A4" s="58" t="s">
        <v>136</v>
      </c>
      <c r="B4" s="58"/>
      <c r="C4" s="59" t="n">
        <v>11</v>
      </c>
      <c r="D4" s="60" t="s">
        <v>135</v>
      </c>
    </row>
    <row r="5" customFormat="false" ht="15" hidden="false" customHeight="false" outlineLevel="0" collapsed="false">
      <c r="A5" s="58" t="s">
        <v>137</v>
      </c>
      <c r="B5" s="58"/>
      <c r="C5" s="59" t="n">
        <v>10</v>
      </c>
      <c r="D5" s="60" t="s">
        <v>135</v>
      </c>
    </row>
    <row r="7" customFormat="false" ht="39.55" hidden="false" customHeight="false" outlineLevel="0" collapsed="false">
      <c r="A7" s="17" t="s">
        <v>138</v>
      </c>
      <c r="B7" s="17" t="s">
        <v>139</v>
      </c>
      <c r="C7" s="17" t="s">
        <v>140</v>
      </c>
      <c r="D7" s="17" t="s">
        <v>141</v>
      </c>
      <c r="E7" s="17" t="s">
        <v>142</v>
      </c>
      <c r="F7" s="17" t="s">
        <v>143</v>
      </c>
      <c r="G7" s="17" t="s">
        <v>144</v>
      </c>
      <c r="H7" s="17" t="s">
        <v>145</v>
      </c>
      <c r="I7" s="17" t="s">
        <v>146</v>
      </c>
    </row>
    <row r="8" customFormat="false" ht="15" hidden="false" customHeight="false" outlineLevel="0" collapsed="false">
      <c r="A8" s="30" t="s">
        <v>147</v>
      </c>
      <c r="B8" s="61" t="s">
        <v>148</v>
      </c>
      <c r="C8" s="62" t="n">
        <v>0</v>
      </c>
      <c r="D8" s="63" t="n">
        <f aca="false">C3/6</f>
        <v>2.16666666666667</v>
      </c>
      <c r="E8" s="64" t="n">
        <f aca="false">C8+D8</f>
        <v>2.16666666666667</v>
      </c>
      <c r="F8" s="64" t="n">
        <f aca="false">10*2</f>
        <v>20</v>
      </c>
      <c r="G8" s="65" t="n">
        <f aca="false">F8-E8</f>
        <v>17.8333333333333</v>
      </c>
      <c r="H8" s="66" t="n">
        <f aca="false">G8*6</f>
        <v>107</v>
      </c>
      <c r="I8" s="67" t="n">
        <f aca="false">IF(F8&gt;0,G8/F8,0)</f>
        <v>0.891666666666667</v>
      </c>
    </row>
    <row r="9" customFormat="false" ht="15" hidden="false" customHeight="false" outlineLevel="0" collapsed="false">
      <c r="A9" s="30" t="s">
        <v>149</v>
      </c>
      <c r="B9" s="61" t="s">
        <v>150</v>
      </c>
      <c r="C9" s="64" t="n">
        <f aca="false">10*0.25*2</f>
        <v>5</v>
      </c>
      <c r="D9" s="63" t="n">
        <f aca="false">C3/6</f>
        <v>2.16666666666667</v>
      </c>
      <c r="E9" s="64" t="n">
        <f aca="false">C9+D9</f>
        <v>7.16666666666667</v>
      </c>
      <c r="F9" s="64" t="n">
        <f aca="false">10*3</f>
        <v>30</v>
      </c>
      <c r="G9" s="65" t="n">
        <f aca="false">F9-E9</f>
        <v>22.8333333333333</v>
      </c>
      <c r="H9" s="66" t="n">
        <f aca="false">G9*6</f>
        <v>137</v>
      </c>
      <c r="I9" s="67" t="n">
        <f aca="false">IF(F9&gt;0,G9/F9,0)</f>
        <v>0.761111111111111</v>
      </c>
    </row>
    <row r="10" customFormat="false" ht="15" hidden="false" customHeight="false" outlineLevel="0" collapsed="false">
      <c r="A10" s="30" t="s">
        <v>151</v>
      </c>
      <c r="B10" s="61" t="s">
        <v>152</v>
      </c>
      <c r="C10" s="62" t="n">
        <v>0</v>
      </c>
      <c r="D10" s="63" t="n">
        <f aca="false">C3/6</f>
        <v>2.16666666666667</v>
      </c>
      <c r="E10" s="64" t="n">
        <f aca="false">C10+D10</f>
        <v>2.16666666666667</v>
      </c>
      <c r="F10" s="64" t="n">
        <f aca="false">10*0.25</f>
        <v>2.5</v>
      </c>
      <c r="G10" s="65" t="n">
        <f aca="false">F10-E10</f>
        <v>0.333333333333334</v>
      </c>
      <c r="H10" s="66" t="n">
        <f aca="false">G10*6</f>
        <v>2</v>
      </c>
      <c r="I10" s="67" t="n">
        <f aca="false">IF(F10&gt;0,G10/F10,0)</f>
        <v>0.133333333333333</v>
      </c>
    </row>
    <row r="11" customFormat="false" ht="15" hidden="false" customHeight="false" outlineLevel="0" collapsed="false">
      <c r="A11" s="30" t="s">
        <v>153</v>
      </c>
      <c r="B11" s="61" t="s">
        <v>154</v>
      </c>
      <c r="C11" s="62" t="n">
        <v>0</v>
      </c>
      <c r="D11" s="63" t="n">
        <f aca="false">C3/6</f>
        <v>2.16666666666667</v>
      </c>
      <c r="E11" s="64" t="n">
        <f aca="false">C11+D11</f>
        <v>2.16666666666667</v>
      </c>
      <c r="F11" s="64" t="n">
        <f aca="false">10*1.8</f>
        <v>18</v>
      </c>
      <c r="G11" s="65" t="n">
        <f aca="false">F11-E11</f>
        <v>15.8333333333333</v>
      </c>
      <c r="H11" s="66" t="n">
        <f aca="false">G11*6</f>
        <v>95</v>
      </c>
      <c r="I11" s="67" t="n">
        <f aca="false">IF(F11&gt;0,G11/F11,0)</f>
        <v>0.87962962962963</v>
      </c>
    </row>
    <row r="12" customFormat="false" ht="15" hidden="false" customHeight="false" outlineLevel="0" collapsed="false">
      <c r="A12" s="6" t="s">
        <v>155</v>
      </c>
      <c r="B12" s="68" t="s">
        <v>156</v>
      </c>
      <c r="C12" s="69" t="n">
        <v>1.8</v>
      </c>
      <c r="D12" s="70" t="n">
        <f aca="false">C3/6</f>
        <v>2.16666666666667</v>
      </c>
      <c r="E12" s="69" t="n">
        <f aca="false">C12+D12</f>
        <v>3.96666666666667</v>
      </c>
      <c r="F12" s="69" t="n">
        <f aca="false">10*1.2</f>
        <v>12</v>
      </c>
      <c r="G12" s="71" t="n">
        <f aca="false">F12-E12</f>
        <v>8.03333333333333</v>
      </c>
      <c r="H12" s="72" t="n">
        <f aca="false">G12*6</f>
        <v>48.2</v>
      </c>
      <c r="I12" s="73" t="n">
        <f aca="false">IF(F12&gt;0,G12/F12,0)</f>
        <v>0.669444444444444</v>
      </c>
    </row>
    <row r="13" customFormat="false" ht="15" hidden="false" customHeight="false" outlineLevel="0" collapsed="false">
      <c r="A13" s="4" t="s">
        <v>157</v>
      </c>
      <c r="B13" s="74" t="s">
        <v>158</v>
      </c>
      <c r="C13" s="75" t="n">
        <v>10</v>
      </c>
      <c r="D13" s="76" t="n">
        <f aca="false">C3/6</f>
        <v>2.16666666666667</v>
      </c>
      <c r="E13" s="75" t="n">
        <f aca="false">C13+D13</f>
        <v>12.1666666666667</v>
      </c>
      <c r="F13" s="75" t="n">
        <f aca="false">3*5</f>
        <v>15</v>
      </c>
      <c r="G13" s="77" t="n">
        <f aca="false">F13-E13</f>
        <v>2.83333333333333</v>
      </c>
      <c r="H13" s="78" t="n">
        <f aca="false">G13*6</f>
        <v>17</v>
      </c>
      <c r="I13" s="79" t="n">
        <f aca="false">IF(F13&gt;0,G13/F13,0)</f>
        <v>0.188888888888889</v>
      </c>
    </row>
    <row r="14" customFormat="false" ht="15" hidden="false" customHeight="false" outlineLevel="0" collapsed="false">
      <c r="A14" s="6" t="s">
        <v>159</v>
      </c>
      <c r="B14" s="68" t="s">
        <v>160</v>
      </c>
      <c r="C14" s="69" t="n">
        <f aca="false">5*2+2*1.5</f>
        <v>13</v>
      </c>
      <c r="D14" s="70" t="n">
        <f aca="false">C3/6</f>
        <v>2.16666666666667</v>
      </c>
      <c r="E14" s="69" t="n">
        <f aca="false">C14+D14</f>
        <v>15.1666666666667</v>
      </c>
      <c r="F14" s="69" t="n">
        <f aca="false">3*8</f>
        <v>24</v>
      </c>
      <c r="G14" s="71" t="n">
        <f aca="false">F14-E14</f>
        <v>8.83333333333333</v>
      </c>
      <c r="H14" s="72" t="n">
        <f aca="false">G14*6</f>
        <v>53</v>
      </c>
      <c r="I14" s="73" t="n">
        <f aca="false">IF(F14&gt;0,G14/F14,0)</f>
        <v>0.368055555555556</v>
      </c>
    </row>
    <row r="15" customFormat="false" ht="15" hidden="false" customHeight="false" outlineLevel="0" collapsed="false">
      <c r="A15" s="4" t="s">
        <v>161</v>
      </c>
      <c r="B15" s="74" t="s">
        <v>162</v>
      </c>
      <c r="C15" s="75" t="n">
        <v>24</v>
      </c>
      <c r="D15" s="76" t="n">
        <f aca="false">C3/6</f>
        <v>2.16666666666667</v>
      </c>
      <c r="E15" s="75" t="n">
        <f aca="false">C15+D15</f>
        <v>26.1666666666667</v>
      </c>
      <c r="F15" s="75" t="n">
        <f aca="false">1*35</f>
        <v>35</v>
      </c>
      <c r="G15" s="77" t="n">
        <f aca="false">F15-E15</f>
        <v>8.83333333333333</v>
      </c>
      <c r="H15" s="78" t="n">
        <f aca="false">G15*6</f>
        <v>53</v>
      </c>
      <c r="I15" s="79" t="n">
        <f aca="false">IF(F15&gt;0,G15/F15,0)</f>
        <v>0.252380952380952</v>
      </c>
    </row>
    <row r="16" customFormat="false" ht="15" hidden="false" customHeight="false" outlineLevel="0" collapsed="false">
      <c r="A16" s="6" t="s">
        <v>163</v>
      </c>
      <c r="B16" s="68" t="s">
        <v>164</v>
      </c>
      <c r="C16" s="69" t="n">
        <f aca="false">3*5+1*5.5</f>
        <v>20.5</v>
      </c>
      <c r="D16" s="70" t="n">
        <f aca="false">C3/6</f>
        <v>2.16666666666667</v>
      </c>
      <c r="E16" s="69" t="n">
        <f aca="false">C16+D16</f>
        <v>22.6666666666667</v>
      </c>
      <c r="F16" s="69" t="n">
        <f aca="false">1*28</f>
        <v>28</v>
      </c>
      <c r="G16" s="71" t="n">
        <f aca="false">F16-E16</f>
        <v>5.33333333333333</v>
      </c>
      <c r="H16" s="72" t="n">
        <f aca="false">G16*6</f>
        <v>32</v>
      </c>
      <c r="I16" s="73" t="n">
        <f aca="false">IF(F16&gt;0,G16/F16,0)</f>
        <v>0.19047619047619</v>
      </c>
    </row>
    <row r="17" customFormat="false" ht="15" hidden="false" customHeight="false" outlineLevel="0" collapsed="false">
      <c r="A17" s="4" t="s">
        <v>165</v>
      </c>
      <c r="B17" s="74" t="s">
        <v>166</v>
      </c>
      <c r="C17" s="75" t="n">
        <f aca="false">3*5+1*5.5</f>
        <v>20.5</v>
      </c>
      <c r="D17" s="76" t="n">
        <f aca="false">C3/6</f>
        <v>2.16666666666667</v>
      </c>
      <c r="E17" s="75" t="n">
        <f aca="false">C17+D17</f>
        <v>22.6666666666667</v>
      </c>
      <c r="F17" s="75" t="n">
        <f aca="false">1*24</f>
        <v>24</v>
      </c>
      <c r="G17" s="77" t="n">
        <f aca="false">F17-E17</f>
        <v>1.33333333333333</v>
      </c>
      <c r="H17" s="78" t="n">
        <f aca="false">G17*6</f>
        <v>7.99999999999999</v>
      </c>
      <c r="I17" s="79" t="n">
        <f aca="false">IF(F17&gt;0,G17/F17,0)</f>
        <v>0.0555555555555555</v>
      </c>
    </row>
    <row r="18" customFormat="false" ht="15" hidden="false" customHeight="false" outlineLevel="0" collapsed="false">
      <c r="A18" s="6" t="s">
        <v>167</v>
      </c>
      <c r="B18" s="68" t="s">
        <v>168</v>
      </c>
      <c r="C18" s="69" t="n">
        <f aca="false">3*8+1*5</f>
        <v>29</v>
      </c>
      <c r="D18" s="70" t="n">
        <f aca="false">C3/6</f>
        <v>2.16666666666667</v>
      </c>
      <c r="E18" s="69" t="n">
        <f aca="false">C18+D18</f>
        <v>31.1666666666667</v>
      </c>
      <c r="F18" s="69" t="n">
        <f aca="false">1*45</f>
        <v>45</v>
      </c>
      <c r="G18" s="71" t="n">
        <f aca="false">F18-E18</f>
        <v>13.8333333333333</v>
      </c>
      <c r="H18" s="72" t="n">
        <f aca="false">G18*6</f>
        <v>83</v>
      </c>
      <c r="I18" s="73" t="n">
        <f aca="false">IF(F18&gt;0,G18/F18,0)</f>
        <v>0.307407407407407</v>
      </c>
    </row>
    <row r="19" customFormat="false" ht="15" hidden="false" customHeight="false" outlineLevel="0" collapsed="false">
      <c r="A19" s="4" t="s">
        <v>169</v>
      </c>
      <c r="B19" s="74" t="s">
        <v>170</v>
      </c>
      <c r="C19" s="75" t="n">
        <f aca="false">10*3+5*0.25</f>
        <v>31.25</v>
      </c>
      <c r="D19" s="76" t="n">
        <f aca="false">C3/6</f>
        <v>2.16666666666667</v>
      </c>
      <c r="E19" s="75" t="n">
        <f aca="false">C19+D19</f>
        <v>33.4166666666667</v>
      </c>
      <c r="F19" s="75" t="n">
        <f aca="false">100*0.8</f>
        <v>80</v>
      </c>
      <c r="G19" s="77" t="n">
        <f aca="false">F19-E19</f>
        <v>46.5833333333333</v>
      </c>
      <c r="H19" s="78" t="n">
        <f aca="false">G19*6</f>
        <v>279.5</v>
      </c>
      <c r="I19" s="79" t="n">
        <f aca="false">IF(F19&gt;0,G19/F19,0)</f>
        <v>0.582291666666667</v>
      </c>
    </row>
    <row r="20" customFormat="false" ht="15" hidden="false" customHeight="false" outlineLevel="0" collapsed="false">
      <c r="A20" s="6" t="s">
        <v>171</v>
      </c>
      <c r="B20" s="68" t="s">
        <v>172</v>
      </c>
      <c r="C20" s="69" t="n">
        <f aca="false">10*2+2*0.25</f>
        <v>20.5</v>
      </c>
      <c r="D20" s="70" t="n">
        <f aca="false">C3/6</f>
        <v>2.16666666666667</v>
      </c>
      <c r="E20" s="69" t="n">
        <f aca="false">C20+D20</f>
        <v>22.6666666666667</v>
      </c>
      <c r="F20" s="69" t="n">
        <f aca="false">80*0.7</f>
        <v>56</v>
      </c>
      <c r="G20" s="71" t="n">
        <f aca="false">F20-E20</f>
        <v>33.3333333333333</v>
      </c>
      <c r="H20" s="72" t="n">
        <f aca="false">G20*6</f>
        <v>200</v>
      </c>
      <c r="I20" s="73" t="n">
        <f aca="false">IF(F20&gt;0,G20/F20,0)</f>
        <v>0.595238095238095</v>
      </c>
    </row>
    <row r="21" customFormat="false" ht="15" hidden="false" customHeight="false" outlineLevel="0" collapsed="false">
      <c r="A21" s="4" t="s">
        <v>173</v>
      </c>
      <c r="B21" s="74" t="s">
        <v>174</v>
      </c>
      <c r="C21" s="75" t="n">
        <v>3</v>
      </c>
      <c r="D21" s="76" t="n">
        <f aca="false">C3/6</f>
        <v>2.16666666666667</v>
      </c>
      <c r="E21" s="75" t="n">
        <f aca="false">C21+D21</f>
        <v>5.16666666666667</v>
      </c>
      <c r="F21" s="75" t="n">
        <f aca="false">10*0.8</f>
        <v>8</v>
      </c>
      <c r="G21" s="77" t="n">
        <f aca="false">F21-E21</f>
        <v>2.83333333333333</v>
      </c>
      <c r="H21" s="78" t="n">
        <f aca="false">G21*6</f>
        <v>17</v>
      </c>
      <c r="I21" s="79" t="n">
        <f aca="false">IF(F21&gt;0,G21/F21,0)</f>
        <v>0.354166666666667</v>
      </c>
    </row>
    <row r="22" customFormat="false" ht="15" hidden="false" customHeight="false" outlineLevel="0" collapsed="false">
      <c r="A22" s="50" t="s">
        <v>175</v>
      </c>
      <c r="B22" s="80" t="s">
        <v>176</v>
      </c>
      <c r="C22" s="81" t="n">
        <f aca="false">10*1.2</f>
        <v>12</v>
      </c>
      <c r="D22" s="82" t="n">
        <f aca="false">C3/6</f>
        <v>2.16666666666667</v>
      </c>
      <c r="E22" s="81" t="n">
        <f aca="false">C22+D22</f>
        <v>14.1666666666667</v>
      </c>
      <c r="F22" s="81" t="n">
        <f aca="false">1*45</f>
        <v>45</v>
      </c>
      <c r="G22" s="83" t="n">
        <f aca="false">F22-E22</f>
        <v>30.8333333333333</v>
      </c>
      <c r="H22" s="84" t="n">
        <f aca="false">G22*6</f>
        <v>185</v>
      </c>
      <c r="I22" s="85" t="n">
        <f aca="false">IF(F22&gt;0,G22/F22,0)</f>
        <v>0.685185185185185</v>
      </c>
    </row>
    <row r="23" customFormat="false" ht="15" hidden="false" customHeight="false" outlineLevel="0" collapsed="false">
      <c r="A23" s="50" t="s">
        <v>177</v>
      </c>
      <c r="B23" s="80" t="s">
        <v>178</v>
      </c>
      <c r="C23" s="81" t="n">
        <f aca="false">30*1.2+4*8</f>
        <v>68</v>
      </c>
      <c r="D23" s="82" t="n">
        <f aca="false">C3/6</f>
        <v>2.16666666666667</v>
      </c>
      <c r="E23" s="81" t="n">
        <f aca="false">C23+D23</f>
        <v>70.1666666666667</v>
      </c>
      <c r="F23" s="81" t="n">
        <f aca="false">1*120</f>
        <v>120</v>
      </c>
      <c r="G23" s="83" t="n">
        <f aca="false">F23-E23</f>
        <v>49.8333333333333</v>
      </c>
      <c r="H23" s="84" t="n">
        <f aca="false">G23*6</f>
        <v>299</v>
      </c>
      <c r="I23" s="85" t="n">
        <f aca="false">IF(F23&gt;0,G23/F23,0)</f>
        <v>0.415277777777778</v>
      </c>
    </row>
    <row r="24" customFormat="false" ht="15" hidden="false" customHeight="false" outlineLevel="0" collapsed="false">
      <c r="A24" s="50" t="s">
        <v>179</v>
      </c>
      <c r="B24" s="80" t="s">
        <v>180</v>
      </c>
      <c r="C24" s="81" t="n">
        <f aca="false">20*1.2</f>
        <v>24</v>
      </c>
      <c r="D24" s="82" t="n">
        <f aca="false">C3/6</f>
        <v>2.16666666666667</v>
      </c>
      <c r="E24" s="81" t="n">
        <f aca="false">C24+D24</f>
        <v>26.1666666666667</v>
      </c>
      <c r="F24" s="81" t="n">
        <f aca="false">2*16</f>
        <v>32</v>
      </c>
      <c r="G24" s="83" t="n">
        <f aca="false">F24-E24</f>
        <v>5.83333333333333</v>
      </c>
      <c r="H24" s="84" t="n">
        <f aca="false">G24*6</f>
        <v>35</v>
      </c>
      <c r="I24" s="85" t="n">
        <f aca="false">IF(F24&gt;0,G24/F24,0)</f>
        <v>0.182291666666667</v>
      </c>
    </row>
    <row r="25" customFormat="false" ht="15" hidden="false" customHeight="false" outlineLevel="0" collapsed="false">
      <c r="A25" s="50" t="s">
        <v>181</v>
      </c>
      <c r="B25" s="80" t="s">
        <v>182</v>
      </c>
      <c r="C25" s="81" t="n">
        <f aca="false">15*1.2</f>
        <v>18</v>
      </c>
      <c r="D25" s="82" t="n">
        <f aca="false">C3/6</f>
        <v>2.16666666666667</v>
      </c>
      <c r="E25" s="81" t="n">
        <f aca="false">C25+D25</f>
        <v>20.1666666666667</v>
      </c>
      <c r="F25" s="81" t="n">
        <f aca="false">5*5.5</f>
        <v>27.5</v>
      </c>
      <c r="G25" s="83" t="n">
        <f aca="false">F25-E25</f>
        <v>7.33333333333333</v>
      </c>
      <c r="H25" s="84" t="n">
        <f aca="false">G25*6</f>
        <v>44</v>
      </c>
      <c r="I25" s="85" t="n">
        <f aca="false">IF(F25&gt;0,G25/F25,0)</f>
        <v>0.266666666666667</v>
      </c>
    </row>
    <row r="26" customFormat="false" ht="15" hidden="false" customHeight="false" outlineLevel="0" collapsed="false">
      <c r="A26" s="54" t="s">
        <v>183</v>
      </c>
      <c r="B26" s="86" t="s">
        <v>184</v>
      </c>
      <c r="C26" s="87" t="n">
        <f aca="false">1*2.5+5*0.25+2*16</f>
        <v>35.75</v>
      </c>
      <c r="D26" s="88" t="n">
        <f aca="false">C3/6</f>
        <v>2.16666666666667</v>
      </c>
      <c r="E26" s="87" t="n">
        <f aca="false">C26+D26</f>
        <v>37.9166666666667</v>
      </c>
      <c r="F26" s="87" t="n">
        <f aca="false">35*8</f>
        <v>280</v>
      </c>
      <c r="G26" s="89" t="n">
        <f aca="false">F26-E26</f>
        <v>242.083333333333</v>
      </c>
      <c r="H26" s="90" t="n">
        <f aca="false">G26*6</f>
        <v>1452.5</v>
      </c>
      <c r="I26" s="91" t="n">
        <f aca="false">IF(F26&gt;0,G26/F26,0)</f>
        <v>0.864583333333333</v>
      </c>
    </row>
    <row r="27" customFormat="false" ht="15" hidden="false" customHeight="false" outlineLevel="0" collapsed="false">
      <c r="A27" s="54" t="s">
        <v>185</v>
      </c>
      <c r="B27" s="86" t="s">
        <v>186</v>
      </c>
      <c r="C27" s="87" t="n">
        <f aca="false">1*3+5*0.25+2*16</f>
        <v>36.25</v>
      </c>
      <c r="D27" s="88" t="n">
        <f aca="false">C3/6</f>
        <v>2.16666666666667</v>
      </c>
      <c r="E27" s="87" t="n">
        <f aca="false">C27+D27</f>
        <v>38.4166666666667</v>
      </c>
      <c r="F27" s="87" t="n">
        <f aca="false">20*10</f>
        <v>200</v>
      </c>
      <c r="G27" s="89" t="n">
        <f aca="false">F27-E27</f>
        <v>161.583333333333</v>
      </c>
      <c r="H27" s="90" t="n">
        <f aca="false">G27*6</f>
        <v>969.5</v>
      </c>
      <c r="I27" s="91" t="n">
        <f aca="false">IF(F27&gt;0,G27/F27,0)</f>
        <v>0.807916666666667</v>
      </c>
    </row>
  </sheetData>
  <mergeCells count="4">
    <mergeCell ref="A1:I1"/>
    <mergeCell ref="A3:B3"/>
    <mergeCell ref="A4:B4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6" t="s">
        <v>187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92" t="s">
        <v>188</v>
      </c>
      <c r="B2" s="92"/>
      <c r="C2" s="92"/>
      <c r="D2" s="92"/>
      <c r="E2" s="92"/>
      <c r="F2" s="92"/>
      <c r="G2" s="92"/>
    </row>
    <row r="3" customFormat="false" ht="39.55" hidden="false" customHeight="false" outlineLevel="0" collapsed="false">
      <c r="A3" s="17" t="s">
        <v>43</v>
      </c>
      <c r="B3" s="17" t="s">
        <v>44</v>
      </c>
      <c r="C3" s="17" t="s">
        <v>189</v>
      </c>
      <c r="D3" s="17" t="s">
        <v>190</v>
      </c>
      <c r="E3" s="17" t="s">
        <v>191</v>
      </c>
      <c r="F3" s="17" t="s">
        <v>192</v>
      </c>
      <c r="G3" s="17" t="s">
        <v>47</v>
      </c>
    </row>
    <row r="4" customFormat="false" ht="15" hidden="false" customHeight="false" outlineLevel="0" collapsed="false">
      <c r="A4" s="30" t="s">
        <v>77</v>
      </c>
      <c r="B4" s="31" t="s">
        <v>75</v>
      </c>
      <c r="C4" s="93" t="n">
        <v>1200</v>
      </c>
      <c r="D4" s="94" t="n">
        <f aca="false">ROUND(C4/6,1)</f>
        <v>200</v>
      </c>
      <c r="E4" s="62" t="n">
        <v>0.25</v>
      </c>
      <c r="F4" s="95" t="n">
        <v>0</v>
      </c>
      <c r="G4" s="33" t="s">
        <v>193</v>
      </c>
    </row>
    <row r="5" customFormat="false" ht="15" hidden="false" customHeight="false" outlineLevel="0" collapsed="false">
      <c r="A5" s="18" t="s">
        <v>51</v>
      </c>
      <c r="B5" s="19" t="s">
        <v>52</v>
      </c>
      <c r="C5" s="93" t="n">
        <v>360</v>
      </c>
      <c r="D5" s="96" t="n">
        <f aca="false">ROUND(C5/6,1)</f>
        <v>60</v>
      </c>
      <c r="E5" s="62" t="n">
        <v>2</v>
      </c>
      <c r="F5" s="95" t="n">
        <v>0</v>
      </c>
      <c r="G5" s="22" t="s">
        <v>194</v>
      </c>
    </row>
    <row r="6" customFormat="false" ht="15" hidden="false" customHeight="false" outlineLevel="0" collapsed="false">
      <c r="A6" s="18" t="s">
        <v>57</v>
      </c>
      <c r="B6" s="19" t="s">
        <v>52</v>
      </c>
      <c r="C6" s="93" t="n">
        <v>240</v>
      </c>
      <c r="D6" s="96" t="n">
        <f aca="false">ROUND(C6/6,1)</f>
        <v>40</v>
      </c>
      <c r="E6" s="62" t="n">
        <v>1.5</v>
      </c>
      <c r="F6" s="95" t="n">
        <v>0</v>
      </c>
      <c r="G6" s="22" t="s">
        <v>195</v>
      </c>
    </row>
    <row r="7" customFormat="false" ht="15" hidden="false" customHeight="false" outlineLevel="0" collapsed="false">
      <c r="A7" s="30" t="s">
        <v>74</v>
      </c>
      <c r="B7" s="31" t="s">
        <v>75</v>
      </c>
      <c r="C7" s="93" t="n">
        <v>240</v>
      </c>
      <c r="D7" s="94" t="n">
        <f aca="false">ROUND(C7/6,1)</f>
        <v>40</v>
      </c>
      <c r="E7" s="62" t="n">
        <v>1.8</v>
      </c>
      <c r="F7" s="95" t="n">
        <v>0</v>
      </c>
      <c r="G7" s="33" t="s">
        <v>196</v>
      </c>
    </row>
    <row r="8" customFormat="false" ht="15" hidden="false" customHeight="false" outlineLevel="0" collapsed="false">
      <c r="A8" s="34" t="s">
        <v>82</v>
      </c>
      <c r="B8" s="35" t="s">
        <v>80</v>
      </c>
      <c r="C8" s="93" t="n">
        <v>180</v>
      </c>
      <c r="D8" s="97" t="n">
        <f aca="false">ROUND(C8/6,1)</f>
        <v>30</v>
      </c>
      <c r="E8" s="62" t="n">
        <v>3</v>
      </c>
      <c r="F8" s="95" t="n">
        <v>0</v>
      </c>
      <c r="G8" s="37" t="s">
        <v>197</v>
      </c>
    </row>
    <row r="9" customFormat="false" ht="15" hidden="false" customHeight="false" outlineLevel="0" collapsed="false">
      <c r="A9" s="34" t="s">
        <v>79</v>
      </c>
      <c r="B9" s="35" t="s">
        <v>80</v>
      </c>
      <c r="C9" s="93" t="n">
        <v>120</v>
      </c>
      <c r="D9" s="97" t="n">
        <f aca="false">ROUND(C9/6,1)</f>
        <v>20</v>
      </c>
      <c r="E9" s="62" t="n">
        <v>2.5</v>
      </c>
      <c r="F9" s="95" t="n">
        <v>0</v>
      </c>
      <c r="G9" s="37" t="s">
        <v>198</v>
      </c>
    </row>
    <row r="10" customFormat="false" ht="15" hidden="false" customHeight="false" outlineLevel="0" collapsed="false">
      <c r="A10" s="34" t="s">
        <v>84</v>
      </c>
      <c r="B10" s="35" t="s">
        <v>80</v>
      </c>
      <c r="C10" s="93" t="n">
        <v>150</v>
      </c>
      <c r="D10" s="97" t="n">
        <f aca="false">ROUND(C10/6,1)</f>
        <v>25</v>
      </c>
      <c r="E10" s="62" t="n">
        <v>2</v>
      </c>
      <c r="F10" s="95" t="n">
        <v>0</v>
      </c>
      <c r="G10" s="37" t="s">
        <v>199</v>
      </c>
    </row>
    <row r="11" customFormat="false" ht="15" hidden="false" customHeight="false" outlineLevel="0" collapsed="false">
      <c r="A11" s="34" t="s">
        <v>86</v>
      </c>
      <c r="B11" s="35" t="s">
        <v>80</v>
      </c>
      <c r="C11" s="93" t="n">
        <v>100</v>
      </c>
      <c r="D11" s="97" t="n">
        <f aca="false">ROUND(C11/6,1)</f>
        <v>16.7</v>
      </c>
      <c r="E11" s="62" t="n">
        <v>2.2</v>
      </c>
      <c r="F11" s="95" t="n">
        <v>0</v>
      </c>
      <c r="G11" s="37" t="s">
        <v>200</v>
      </c>
    </row>
    <row r="12" customFormat="false" ht="15" hidden="false" customHeight="false" outlineLevel="0" collapsed="false">
      <c r="A12" s="18" t="s">
        <v>65</v>
      </c>
      <c r="B12" s="19" t="s">
        <v>52</v>
      </c>
      <c r="C12" s="93" t="n">
        <v>200</v>
      </c>
      <c r="D12" s="96" t="n">
        <f aca="false">ROUND(C12/6,1)</f>
        <v>33.3</v>
      </c>
      <c r="E12" s="62" t="n">
        <v>0.8</v>
      </c>
      <c r="F12" s="95" t="n">
        <v>0</v>
      </c>
      <c r="G12" s="22" t="s">
        <v>201</v>
      </c>
    </row>
    <row r="13" customFormat="false" ht="15" hidden="false" customHeight="false" outlineLevel="0" collapsed="false">
      <c r="A13" s="18" t="s">
        <v>61</v>
      </c>
      <c r="B13" s="19" t="s">
        <v>52</v>
      </c>
      <c r="C13" s="93" t="n">
        <v>80</v>
      </c>
      <c r="D13" s="96" t="n">
        <f aca="false">ROUND(C13/6,1)</f>
        <v>13.3</v>
      </c>
      <c r="E13" s="62" t="n">
        <v>2.8</v>
      </c>
      <c r="F13" s="95" t="n">
        <v>0</v>
      </c>
      <c r="G13" s="22" t="s">
        <v>202</v>
      </c>
    </row>
    <row r="14" customFormat="false" ht="15" hidden="false" customHeight="false" outlineLevel="0" collapsed="false">
      <c r="A14" s="38" t="s">
        <v>92</v>
      </c>
      <c r="B14" s="39" t="s">
        <v>93</v>
      </c>
      <c r="C14" s="93" t="n">
        <v>240</v>
      </c>
      <c r="D14" s="98" t="n">
        <f aca="false">ROUND(C14/6,1)</f>
        <v>40</v>
      </c>
      <c r="E14" s="62" t="n">
        <v>0.8</v>
      </c>
      <c r="F14" s="95" t="n">
        <v>0</v>
      </c>
      <c r="G14" s="41" t="s">
        <v>203</v>
      </c>
    </row>
    <row r="15" customFormat="false" ht="15" hidden="false" customHeight="false" outlineLevel="0" collapsed="false">
      <c r="A15" s="42" t="s">
        <v>95</v>
      </c>
      <c r="B15" s="43" t="s">
        <v>96</v>
      </c>
      <c r="C15" s="93" t="n">
        <v>200</v>
      </c>
      <c r="D15" s="99" t="n">
        <f aca="false">ROUND(C15/6,1)</f>
        <v>33.3</v>
      </c>
      <c r="E15" s="62" t="n">
        <v>1.2</v>
      </c>
      <c r="F15" s="95" t="n">
        <v>0</v>
      </c>
      <c r="G15" s="45" t="s">
        <v>204</v>
      </c>
    </row>
    <row r="16" customFormat="false" ht="15" hidden="false" customHeight="false" outlineLevel="0" collapsed="false">
      <c r="A16" s="42" t="s">
        <v>103</v>
      </c>
      <c r="B16" s="43" t="s">
        <v>96</v>
      </c>
      <c r="C16" s="93" t="n">
        <v>140</v>
      </c>
      <c r="D16" s="99" t="n">
        <f aca="false">ROUND(C16/6,1)</f>
        <v>23.3</v>
      </c>
      <c r="E16" s="62" t="n">
        <v>5</v>
      </c>
      <c r="F16" s="95" t="n">
        <v>0</v>
      </c>
      <c r="G16" s="45" t="s">
        <v>205</v>
      </c>
    </row>
    <row r="17" customFormat="false" ht="15" hidden="false" customHeight="false" outlineLevel="0" collapsed="false">
      <c r="A17" s="42" t="s">
        <v>105</v>
      </c>
      <c r="B17" s="43" t="s">
        <v>96</v>
      </c>
      <c r="C17" s="93" t="n">
        <v>90</v>
      </c>
      <c r="D17" s="99" t="n">
        <f aca="false">ROUND(C17/6,1)</f>
        <v>15</v>
      </c>
      <c r="E17" s="62" t="n">
        <v>8</v>
      </c>
      <c r="F17" s="95" t="n">
        <v>0</v>
      </c>
      <c r="G17" s="45" t="s">
        <v>206</v>
      </c>
    </row>
    <row r="18" customFormat="false" ht="15" hidden="false" customHeight="false" outlineLevel="0" collapsed="false">
      <c r="A18" s="42" t="s">
        <v>107</v>
      </c>
      <c r="B18" s="43" t="s">
        <v>96</v>
      </c>
      <c r="C18" s="93" t="n">
        <v>35</v>
      </c>
      <c r="D18" s="99" t="n">
        <f aca="false">ROUND(C18/6,1)</f>
        <v>5.8</v>
      </c>
      <c r="E18" s="62" t="n">
        <v>35</v>
      </c>
      <c r="F18" s="95" t="n">
        <v>0</v>
      </c>
      <c r="G18" s="45" t="s">
        <v>207</v>
      </c>
    </row>
    <row r="19" customFormat="false" ht="15" hidden="false" customHeight="false" outlineLevel="0" collapsed="false">
      <c r="A19" s="42" t="s">
        <v>99</v>
      </c>
      <c r="B19" s="43" t="s">
        <v>96</v>
      </c>
      <c r="C19" s="93" t="n">
        <v>100</v>
      </c>
      <c r="D19" s="99" t="n">
        <f aca="false">ROUND(C19/6,1)</f>
        <v>16.7</v>
      </c>
      <c r="E19" s="62" t="n">
        <v>5.5</v>
      </c>
      <c r="F19" s="95" t="n">
        <v>0</v>
      </c>
      <c r="G19" s="45" t="s">
        <v>208</v>
      </c>
    </row>
    <row r="20" customFormat="false" ht="15" hidden="false" customHeight="false" outlineLevel="0" collapsed="false">
      <c r="A20" s="42" t="s">
        <v>101</v>
      </c>
      <c r="B20" s="43" t="s">
        <v>96</v>
      </c>
      <c r="C20" s="93" t="n">
        <v>80</v>
      </c>
      <c r="D20" s="99" t="n">
        <f aca="false">ROUND(C20/6,1)</f>
        <v>13.3</v>
      </c>
      <c r="E20" s="62" t="n">
        <v>16</v>
      </c>
      <c r="F20" s="95" t="n">
        <v>0</v>
      </c>
      <c r="G20" s="45" t="s">
        <v>209</v>
      </c>
    </row>
    <row r="21" customFormat="false" ht="15" hidden="false" customHeight="false" outlineLevel="0" collapsed="false">
      <c r="A21" s="100" t="s">
        <v>109</v>
      </c>
      <c r="B21" s="101" t="s">
        <v>210</v>
      </c>
      <c r="C21" s="93" t="n">
        <v>360</v>
      </c>
      <c r="D21" s="102" t="n">
        <f aca="false">ROUND(C21/6,1)</f>
        <v>60</v>
      </c>
      <c r="E21" s="62" t="n">
        <v>0.8</v>
      </c>
      <c r="F21" s="95" t="n">
        <v>0</v>
      </c>
      <c r="G21" s="103" t="s">
        <v>211</v>
      </c>
    </row>
    <row r="22" customFormat="false" ht="15" hidden="false" customHeight="false" outlineLevel="0" collapsed="false">
      <c r="A22" s="100" t="s">
        <v>111</v>
      </c>
      <c r="B22" s="101" t="s">
        <v>210</v>
      </c>
      <c r="C22" s="93" t="n">
        <v>300</v>
      </c>
      <c r="D22" s="102" t="n">
        <f aca="false">ROUND(C22/6,1)</f>
        <v>50</v>
      </c>
      <c r="E22" s="62" t="n">
        <v>0.7</v>
      </c>
      <c r="F22" s="95" t="n">
        <v>0</v>
      </c>
      <c r="G22" s="103" t="s">
        <v>212</v>
      </c>
    </row>
    <row r="23" customFormat="false" ht="15" hidden="false" customHeight="false" outlineLevel="0" collapsed="false">
      <c r="A23" s="46" t="s">
        <v>113</v>
      </c>
      <c r="B23" s="47" t="s">
        <v>114</v>
      </c>
      <c r="C23" s="93" t="n">
        <v>36</v>
      </c>
      <c r="D23" s="104" t="n">
        <f aca="false">ROUND(C23/6,1)</f>
        <v>6</v>
      </c>
      <c r="E23" s="62" t="n">
        <v>28</v>
      </c>
      <c r="F23" s="95" t="n">
        <v>0</v>
      </c>
      <c r="G23" s="49" t="s">
        <v>213</v>
      </c>
    </row>
    <row r="24" customFormat="false" ht="15" hidden="false" customHeight="false" outlineLevel="0" collapsed="false">
      <c r="A24" s="46" t="s">
        <v>116</v>
      </c>
      <c r="B24" s="47" t="s">
        <v>114</v>
      </c>
      <c r="C24" s="93" t="n">
        <v>30</v>
      </c>
      <c r="D24" s="104" t="n">
        <f aca="false">ROUND(C24/6,1)</f>
        <v>5</v>
      </c>
      <c r="E24" s="62" t="n">
        <v>24</v>
      </c>
      <c r="F24" s="95" t="n">
        <v>0</v>
      </c>
      <c r="G24" s="49" t="s">
        <v>214</v>
      </c>
    </row>
    <row r="25" customFormat="false" ht="15" hidden="false" customHeight="false" outlineLevel="0" collapsed="false">
      <c r="A25" s="46" t="s">
        <v>118</v>
      </c>
      <c r="B25" s="47" t="s">
        <v>114</v>
      </c>
      <c r="C25" s="93" t="n">
        <v>18</v>
      </c>
      <c r="D25" s="104" t="n">
        <f aca="false">ROUND(C25/6,1)</f>
        <v>3</v>
      </c>
      <c r="E25" s="62" t="n">
        <v>45</v>
      </c>
      <c r="F25" s="95" t="n">
        <v>0</v>
      </c>
      <c r="G25" s="49" t="s">
        <v>215</v>
      </c>
    </row>
    <row r="26" customFormat="false" ht="15" hidden="false" customHeight="false" outlineLevel="0" collapsed="false">
      <c r="A26" s="50" t="s">
        <v>120</v>
      </c>
      <c r="B26" s="51" t="s">
        <v>121</v>
      </c>
      <c r="C26" s="93" t="n">
        <v>24</v>
      </c>
      <c r="D26" s="105" t="n">
        <f aca="false">ROUND(C26/6,1)</f>
        <v>4</v>
      </c>
      <c r="E26" s="62" t="n">
        <v>45</v>
      </c>
      <c r="F26" s="95" t="n">
        <v>0</v>
      </c>
      <c r="G26" s="53" t="s">
        <v>216</v>
      </c>
    </row>
    <row r="27" customFormat="false" ht="15" hidden="false" customHeight="false" outlineLevel="0" collapsed="false">
      <c r="A27" s="50" t="s">
        <v>124</v>
      </c>
      <c r="B27" s="51" t="s">
        <v>121</v>
      </c>
      <c r="C27" s="93" t="n">
        <v>10</v>
      </c>
      <c r="D27" s="105" t="n">
        <f aca="false">ROUND(C27/6,1)</f>
        <v>1.7</v>
      </c>
      <c r="E27" s="62" t="n">
        <v>120</v>
      </c>
      <c r="F27" s="95" t="n">
        <v>0</v>
      </c>
      <c r="G27" s="53" t="s">
        <v>217</v>
      </c>
    </row>
    <row r="28" customFormat="false" ht="15" hidden="false" customHeight="false" outlineLevel="0" collapsed="false">
      <c r="A28" s="54" t="s">
        <v>126</v>
      </c>
      <c r="B28" s="55" t="s">
        <v>127</v>
      </c>
      <c r="C28" s="93" t="n">
        <v>72</v>
      </c>
      <c r="D28" s="106" t="n">
        <f aca="false">ROUND(C28/6,1)</f>
        <v>12</v>
      </c>
      <c r="E28" s="62" t="n">
        <v>8</v>
      </c>
      <c r="F28" s="95" t="n">
        <v>0</v>
      </c>
      <c r="G28" s="57" t="s">
        <v>218</v>
      </c>
    </row>
    <row r="29" customFormat="false" ht="15" hidden="false" customHeight="false" outlineLevel="0" collapsed="false">
      <c r="A29" s="54" t="s">
        <v>129</v>
      </c>
      <c r="B29" s="55" t="s">
        <v>127</v>
      </c>
      <c r="C29" s="93" t="n">
        <v>48</v>
      </c>
      <c r="D29" s="106" t="n">
        <f aca="false">ROUND(C29/6,1)</f>
        <v>8</v>
      </c>
      <c r="E29" s="62" t="n">
        <v>10</v>
      </c>
      <c r="F29" s="95" t="n">
        <v>0</v>
      </c>
      <c r="G29" s="57" t="s">
        <v>219</v>
      </c>
    </row>
    <row r="30" customFormat="false" ht="15" hidden="false" customHeight="false" outlineLevel="0" collapsed="false">
      <c r="A30" s="54" t="s">
        <v>131</v>
      </c>
      <c r="B30" s="55" t="s">
        <v>127</v>
      </c>
      <c r="C30" s="93" t="n">
        <v>36</v>
      </c>
      <c r="D30" s="106" t="n">
        <f aca="false">ROUND(C30/6,1)</f>
        <v>6</v>
      </c>
      <c r="E30" s="62" t="n">
        <v>9</v>
      </c>
      <c r="F30" s="95" t="n">
        <v>0</v>
      </c>
      <c r="G30" s="57" t="s">
        <v>220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4" min="4" style="0" width="10"/>
  </cols>
  <sheetData>
    <row r="1" customFormat="false" ht="24" hidden="false" customHeight="true" outlineLevel="0" collapsed="false">
      <c r="A1" s="16" t="s">
        <v>221</v>
      </c>
      <c r="B1" s="16"/>
      <c r="C1" s="16"/>
      <c r="D1" s="16"/>
      <c r="E1" s="16"/>
      <c r="F1" s="16"/>
      <c r="G1" s="16"/>
      <c r="H1" s="16"/>
    </row>
    <row r="2" customFormat="false" ht="24" hidden="false" customHeight="true" outlineLevel="0" collapsed="false">
      <c r="A2" s="107" t="s">
        <v>222</v>
      </c>
      <c r="B2" s="107"/>
      <c r="C2" s="107"/>
      <c r="D2" s="107"/>
      <c r="E2" s="107"/>
      <c r="F2" s="107"/>
      <c r="G2" s="107"/>
      <c r="H2" s="107"/>
    </row>
    <row r="3" customFormat="false" ht="15" hidden="false" customHeight="false" outlineLevel="0" collapsed="false">
      <c r="A3" s="108" t="s">
        <v>223</v>
      </c>
      <c r="B3" s="108"/>
      <c r="C3" s="59" t="n">
        <v>12</v>
      </c>
      <c r="D3" s="10"/>
      <c r="E3" s="10"/>
      <c r="F3" s="10"/>
      <c r="G3" s="10"/>
      <c r="H3" s="10"/>
    </row>
    <row r="4" customFormat="false" ht="15" hidden="false" customHeight="false" outlineLevel="0" collapsed="false">
      <c r="A4" s="108" t="s">
        <v>224</v>
      </c>
      <c r="B4" s="108"/>
      <c r="C4" s="59" t="n">
        <v>10</v>
      </c>
      <c r="D4" s="10"/>
      <c r="E4" s="10"/>
      <c r="F4" s="10"/>
      <c r="G4" s="10"/>
      <c r="H4" s="10"/>
    </row>
    <row r="5" customFormat="false" ht="15" hidden="false" customHeight="false" outlineLevel="0" collapsed="false">
      <c r="A5" s="108" t="s">
        <v>225</v>
      </c>
      <c r="B5" s="108"/>
      <c r="C5" s="59" t="n">
        <v>9</v>
      </c>
      <c r="D5" s="10"/>
      <c r="E5" s="10"/>
      <c r="F5" s="10"/>
      <c r="G5" s="10"/>
      <c r="H5" s="10"/>
    </row>
    <row r="6" customFormat="false" ht="15" hidden="false" customHeight="false" outlineLevel="0" collapsed="false">
      <c r="A6" s="108" t="s">
        <v>226</v>
      </c>
      <c r="B6" s="108"/>
      <c r="C6" s="59" t="n">
        <v>14</v>
      </c>
      <c r="D6" s="10"/>
      <c r="E6" s="10"/>
      <c r="F6" s="10"/>
      <c r="G6" s="10"/>
      <c r="H6" s="10"/>
    </row>
    <row r="7" customFormat="false" ht="15" hidden="false" customHeight="false" outlineLevel="0" collapsed="false">
      <c r="A7" s="108" t="s">
        <v>227</v>
      </c>
      <c r="B7" s="108"/>
      <c r="C7" s="59" t="n">
        <v>0.5</v>
      </c>
      <c r="D7" s="10"/>
      <c r="E7" s="10"/>
      <c r="F7" s="10"/>
      <c r="G7" s="10"/>
      <c r="H7" s="10"/>
    </row>
    <row r="8" customFormat="false" ht="15" hidden="false" customHeight="false" outlineLevel="0" collapsed="false">
      <c r="A8" s="108" t="s">
        <v>228</v>
      </c>
      <c r="B8" s="108"/>
      <c r="C8" s="59" t="n">
        <v>0.75</v>
      </c>
      <c r="D8" s="10"/>
      <c r="E8" s="10"/>
      <c r="F8" s="10"/>
      <c r="G8" s="10"/>
      <c r="H8" s="10"/>
    </row>
    <row r="9" customFormat="false" ht="15" hidden="false" customHeight="false" outlineLevel="0" collapsed="false">
      <c r="A9" s="108" t="s">
        <v>229</v>
      </c>
      <c r="B9" s="108"/>
      <c r="C9" s="59" t="n">
        <v>2</v>
      </c>
      <c r="D9" s="10"/>
      <c r="E9" s="10"/>
      <c r="F9" s="10"/>
      <c r="G9" s="10"/>
      <c r="H9" s="10"/>
    </row>
    <row r="10" customFormat="false" ht="15" hidden="false" customHeight="false" outlineLevel="0" collapsed="false">
      <c r="A10" s="109" t="s">
        <v>230</v>
      </c>
      <c r="B10" s="109"/>
      <c r="C10" s="109"/>
      <c r="D10" s="109"/>
      <c r="E10" s="109"/>
      <c r="F10" s="109"/>
      <c r="G10" s="109"/>
      <c r="H10" s="109"/>
    </row>
    <row r="12" customFormat="false" ht="15" hidden="false" customHeight="false" outlineLevel="0" collapsed="false">
      <c r="A12" s="17" t="s">
        <v>231</v>
      </c>
      <c r="B12" s="17" t="s">
        <v>232</v>
      </c>
      <c r="C12" s="17" t="s">
        <v>233</v>
      </c>
      <c r="D12" s="17" t="s">
        <v>234</v>
      </c>
      <c r="E12" s="17" t="s">
        <v>235</v>
      </c>
      <c r="F12" s="17" t="s">
        <v>236</v>
      </c>
      <c r="G12" s="17" t="s">
        <v>237</v>
      </c>
      <c r="H12" s="17" t="s">
        <v>238</v>
      </c>
      <c r="I12" s="17" t="s">
        <v>239</v>
      </c>
      <c r="J12" s="17" t="s">
        <v>240</v>
      </c>
      <c r="K12" s="17" t="s">
        <v>241</v>
      </c>
      <c r="L12" s="17" t="s">
        <v>242</v>
      </c>
      <c r="M12" s="17" t="s">
        <v>243</v>
      </c>
      <c r="N12" s="17" t="s">
        <v>244</v>
      </c>
    </row>
    <row r="13" customFormat="false" ht="15" hidden="false" customHeight="false" outlineLevel="0" collapsed="false">
      <c r="A13" s="110" t="s">
        <v>245</v>
      </c>
      <c r="B13" s="111" t="s">
        <v>246</v>
      </c>
      <c r="C13" s="112" t="n">
        <f aca="false">C3</f>
        <v>12</v>
      </c>
      <c r="D13" s="113" t="n">
        <f aca="false">C3+(1*C7)</f>
        <v>12.5</v>
      </c>
      <c r="E13" s="113" t="n">
        <f aca="false">C3+(5*C7)</f>
        <v>14.5</v>
      </c>
      <c r="F13" s="113" t="n">
        <f aca="false">C3+(10*C7)</f>
        <v>17</v>
      </c>
      <c r="G13" s="113" t="n">
        <f aca="false">C3+(15*C7)</f>
        <v>19.5</v>
      </c>
      <c r="H13" s="113" t="n">
        <f aca="false">C3+(20*C7)</f>
        <v>22</v>
      </c>
      <c r="I13" s="113" t="n">
        <f aca="false">C3+(25*C7)</f>
        <v>24.5</v>
      </c>
      <c r="J13" s="113" t="n">
        <f aca="false">C3+(30*C7)</f>
        <v>27</v>
      </c>
      <c r="K13" s="113" t="n">
        <f aca="false">C3+(40*C7)</f>
        <v>32</v>
      </c>
      <c r="L13" s="113" t="n">
        <f aca="false">C3+(50*C7)</f>
        <v>37</v>
      </c>
      <c r="M13" s="113" t="n">
        <f aca="false">C3+(75*C7)</f>
        <v>49.5</v>
      </c>
      <c r="N13" s="113" t="n">
        <f aca="false">C3+(100*C7)</f>
        <v>62</v>
      </c>
    </row>
    <row r="14" customFormat="false" ht="15" hidden="false" customHeight="false" outlineLevel="0" collapsed="false">
      <c r="A14" s="30" t="s">
        <v>247</v>
      </c>
      <c r="B14" s="32" t="s">
        <v>248</v>
      </c>
      <c r="C14" s="63" t="n">
        <f aca="false">C4</f>
        <v>10</v>
      </c>
      <c r="D14" s="64" t="n">
        <f aca="false">C4+(1*C7)</f>
        <v>10.5</v>
      </c>
      <c r="E14" s="64" t="n">
        <f aca="false">C4+(5*C7)</f>
        <v>12.5</v>
      </c>
      <c r="F14" s="64" t="n">
        <f aca="false">C4+(10*C7)</f>
        <v>15</v>
      </c>
      <c r="G14" s="64" t="n">
        <f aca="false">C4+(15*C7)</f>
        <v>17.5</v>
      </c>
      <c r="H14" s="64" t="n">
        <f aca="false">C4+(20*C7)</f>
        <v>20</v>
      </c>
      <c r="I14" s="64" t="n">
        <f aca="false">C4+(25*C7)</f>
        <v>22.5</v>
      </c>
      <c r="J14" s="64" t="n">
        <f aca="false">C4+(30*C7)</f>
        <v>25</v>
      </c>
      <c r="K14" s="64" t="n">
        <f aca="false">C4+(40*C7)</f>
        <v>30</v>
      </c>
      <c r="L14" s="64" t="n">
        <f aca="false">C4+(50*C7)</f>
        <v>35</v>
      </c>
      <c r="M14" s="64" t="n">
        <f aca="false">C4+(75*C7)</f>
        <v>47.5</v>
      </c>
      <c r="N14" s="64" t="n">
        <f aca="false">C4+(100*C7)</f>
        <v>60</v>
      </c>
    </row>
    <row r="15" customFormat="false" ht="15" hidden="false" customHeight="false" outlineLevel="0" collapsed="false">
      <c r="A15" s="26" t="s">
        <v>249</v>
      </c>
      <c r="B15" s="28" t="s">
        <v>250</v>
      </c>
      <c r="C15" s="114" t="n">
        <f aca="false">C5</f>
        <v>9</v>
      </c>
      <c r="D15" s="115" t="n">
        <f aca="false">C5+(1*C7)</f>
        <v>9.5</v>
      </c>
      <c r="E15" s="115" t="n">
        <f aca="false">C5+(5*C7)</f>
        <v>11.5</v>
      </c>
      <c r="F15" s="115" t="n">
        <f aca="false">C5+(10*C7)</f>
        <v>14</v>
      </c>
      <c r="G15" s="115" t="n">
        <f aca="false">C5+(15*C7)</f>
        <v>16.5</v>
      </c>
      <c r="H15" s="115" t="n">
        <f aca="false">C5+(20*C7)</f>
        <v>19</v>
      </c>
      <c r="I15" s="115" t="n">
        <f aca="false">C5+(25*C7)</f>
        <v>21.5</v>
      </c>
      <c r="J15" s="115" t="n">
        <f aca="false">C5+(30*C7)</f>
        <v>24</v>
      </c>
      <c r="K15" s="115" t="n">
        <f aca="false">C5+(40*C7)</f>
        <v>29</v>
      </c>
      <c r="L15" s="115" t="n">
        <f aca="false">C5+(50*C7)</f>
        <v>34</v>
      </c>
      <c r="M15" s="115" t="n">
        <f aca="false">C5+(75*C7)</f>
        <v>46.5</v>
      </c>
      <c r="N15" s="115" t="n">
        <f aca="false">C5+(100*C7)</f>
        <v>59</v>
      </c>
    </row>
    <row r="16" customFormat="false" ht="15" hidden="false" customHeight="false" outlineLevel="0" collapsed="false">
      <c r="A16" s="34" t="s">
        <v>251</v>
      </c>
      <c r="B16" s="36" t="s">
        <v>250</v>
      </c>
      <c r="C16" s="116" t="n">
        <f aca="false">C6</f>
        <v>14</v>
      </c>
      <c r="D16" s="117" t="n">
        <f aca="false">C6+(1*C8)</f>
        <v>14.75</v>
      </c>
      <c r="E16" s="117" t="n">
        <f aca="false">C6+(5*C8)</f>
        <v>17.75</v>
      </c>
      <c r="F16" s="117" t="n">
        <f aca="false">C6+(10*C8)</f>
        <v>21.5</v>
      </c>
      <c r="G16" s="117" t="n">
        <f aca="false">C6+(15*C8)</f>
        <v>25.25</v>
      </c>
      <c r="H16" s="117" t="n">
        <f aca="false">C6+(20*C8)</f>
        <v>29</v>
      </c>
      <c r="I16" s="117" t="n">
        <f aca="false">C6+(25*C8)</f>
        <v>32.75</v>
      </c>
      <c r="J16" s="117" t="n">
        <f aca="false">C6+(30*C8)</f>
        <v>36.5</v>
      </c>
      <c r="K16" s="117" t="n">
        <f aca="false">C6+(40*C8)</f>
        <v>44</v>
      </c>
      <c r="L16" s="117" t="n">
        <f aca="false">C6+(50*C8)</f>
        <v>51.5</v>
      </c>
      <c r="M16" s="117" t="n">
        <f aca="false">C6+(75*C8)</f>
        <v>70.25</v>
      </c>
      <c r="N16" s="117" t="n">
        <f aca="false">C6+(100*C8)</f>
        <v>89</v>
      </c>
    </row>
    <row r="19" customFormat="false" ht="24" hidden="false" customHeight="true" outlineLevel="0" collapsed="false">
      <c r="A19" s="107" t="s">
        <v>252</v>
      </c>
      <c r="B19" s="107"/>
      <c r="C19" s="107"/>
      <c r="D19" s="107"/>
      <c r="E19" s="107"/>
      <c r="F19" s="107"/>
      <c r="G19" s="107"/>
      <c r="H19" s="107"/>
    </row>
    <row r="20" customFormat="false" ht="52.2" hidden="false" customHeight="false" outlineLevel="0" collapsed="false">
      <c r="A20" s="118" t="s">
        <v>231</v>
      </c>
      <c r="B20" s="118" t="s">
        <v>253</v>
      </c>
      <c r="C20" s="118" t="s">
        <v>254</v>
      </c>
      <c r="D20" s="118" t="s">
        <v>255</v>
      </c>
      <c r="E20" s="118" t="s">
        <v>256</v>
      </c>
      <c r="F20" s="118" t="s">
        <v>257</v>
      </c>
      <c r="G20" s="118" t="s">
        <v>258</v>
      </c>
      <c r="H20" s="118" t="s">
        <v>47</v>
      </c>
    </row>
    <row r="21" customFormat="false" ht="15" hidden="false" customHeight="false" outlineLevel="0" collapsed="false">
      <c r="A21" s="5" t="s">
        <v>245</v>
      </c>
      <c r="B21" s="119" t="n">
        <v>1</v>
      </c>
      <c r="C21" s="120" t="n">
        <v>13</v>
      </c>
      <c r="D21" s="119" t="s">
        <v>246</v>
      </c>
      <c r="E21" s="75" t="n">
        <v>52</v>
      </c>
      <c r="F21" s="119" t="n">
        <v>6</v>
      </c>
      <c r="G21" s="121" t="n">
        <v>312</v>
      </c>
      <c r="H21" s="122" t="s">
        <v>259</v>
      </c>
    </row>
    <row r="22" customFormat="false" ht="15" hidden="false" customHeight="false" outlineLevel="0" collapsed="false">
      <c r="A22" s="7" t="s">
        <v>245</v>
      </c>
      <c r="B22" s="123" t="n">
        <v>10</v>
      </c>
      <c r="C22" s="124" t="n">
        <v>17</v>
      </c>
      <c r="D22" s="123" t="s">
        <v>246</v>
      </c>
      <c r="E22" s="69" t="n">
        <v>68</v>
      </c>
      <c r="F22" s="123" t="n">
        <v>6</v>
      </c>
      <c r="G22" s="125" t="n">
        <v>408</v>
      </c>
      <c r="H22" s="126" t="s">
        <v>260</v>
      </c>
    </row>
    <row r="23" customFormat="false" ht="15" hidden="false" customHeight="false" outlineLevel="0" collapsed="false">
      <c r="A23" s="5" t="s">
        <v>247</v>
      </c>
      <c r="B23" s="119" t="n">
        <v>10</v>
      </c>
      <c r="C23" s="120" t="n">
        <v>15</v>
      </c>
      <c r="D23" s="119" t="s">
        <v>248</v>
      </c>
      <c r="E23" s="75" t="n">
        <v>120</v>
      </c>
      <c r="F23" s="119" t="n">
        <v>3</v>
      </c>
      <c r="G23" s="121" t="n">
        <v>360</v>
      </c>
      <c r="H23" s="122" t="s">
        <v>261</v>
      </c>
    </row>
    <row r="24" customFormat="false" ht="15" hidden="false" customHeight="false" outlineLevel="0" collapsed="false">
      <c r="A24" s="7" t="s">
        <v>249</v>
      </c>
      <c r="B24" s="123" t="n">
        <v>10</v>
      </c>
      <c r="C24" s="124" t="n">
        <v>14</v>
      </c>
      <c r="D24" s="123" t="s">
        <v>250</v>
      </c>
      <c r="E24" s="69" t="n">
        <v>168</v>
      </c>
      <c r="F24" s="123" t="n">
        <v>2</v>
      </c>
      <c r="G24" s="125" t="n">
        <v>336</v>
      </c>
      <c r="H24" s="126" t="s">
        <v>262</v>
      </c>
    </row>
    <row r="25" customFormat="false" ht="15" hidden="false" customHeight="false" outlineLevel="0" collapsed="false">
      <c r="A25" s="5" t="s">
        <v>249</v>
      </c>
      <c r="B25" s="119" t="n">
        <v>25</v>
      </c>
      <c r="C25" s="120" t="n">
        <v>21.5</v>
      </c>
      <c r="D25" s="119" t="s">
        <v>250</v>
      </c>
      <c r="E25" s="75" t="n">
        <v>258</v>
      </c>
      <c r="F25" s="119" t="n">
        <v>2</v>
      </c>
      <c r="G25" s="121" t="n">
        <v>516</v>
      </c>
      <c r="H25" s="122" t="s">
        <v>263</v>
      </c>
    </row>
    <row r="26" customFormat="false" ht="15" hidden="false" customHeight="false" outlineLevel="0" collapsed="false">
      <c r="A26" s="7" t="s">
        <v>251</v>
      </c>
      <c r="B26" s="123" t="n">
        <v>15</v>
      </c>
      <c r="C26" s="124" t="n">
        <v>25.25</v>
      </c>
      <c r="D26" s="123" t="s">
        <v>250</v>
      </c>
      <c r="E26" s="69" t="n">
        <v>303</v>
      </c>
      <c r="F26" s="123" t="n">
        <v>2</v>
      </c>
      <c r="G26" s="125" t="n">
        <v>606</v>
      </c>
      <c r="H26" s="126" t="s">
        <v>264</v>
      </c>
    </row>
    <row r="27" customFormat="false" ht="15" hidden="false" customHeight="false" outlineLevel="0" collapsed="false">
      <c r="A27" s="5" t="s">
        <v>251</v>
      </c>
      <c r="B27" s="119" t="n">
        <v>50</v>
      </c>
      <c r="C27" s="120" t="n">
        <v>51.5</v>
      </c>
      <c r="D27" s="119" t="s">
        <v>250</v>
      </c>
      <c r="E27" s="75" t="n">
        <v>618</v>
      </c>
      <c r="F27" s="119" t="n">
        <v>2</v>
      </c>
      <c r="G27" s="121" t="n">
        <v>1236</v>
      </c>
      <c r="H27" s="122" t="s">
        <v>265</v>
      </c>
    </row>
  </sheetData>
  <mergeCells count="11">
    <mergeCell ref="A1:H1"/>
    <mergeCell ref="A2:H2"/>
    <mergeCell ref="A3:B3"/>
    <mergeCell ref="A4:B4"/>
    <mergeCell ref="A5:B5"/>
    <mergeCell ref="A6:B6"/>
    <mergeCell ref="A7:B7"/>
    <mergeCell ref="A8:B8"/>
    <mergeCell ref="A9:B9"/>
    <mergeCell ref="A10:H10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6" t="s">
        <v>266</v>
      </c>
      <c r="B1" s="16"/>
      <c r="C1" s="16"/>
      <c r="D1" s="16"/>
      <c r="E1" s="16"/>
      <c r="F1" s="16"/>
      <c r="G1" s="16"/>
      <c r="H1" s="16"/>
      <c r="I1" s="16"/>
    </row>
    <row r="2" customFormat="false" ht="24" hidden="false" customHeight="true" outlineLevel="0" collapsed="false">
      <c r="A2" s="107" t="s">
        <v>267</v>
      </c>
      <c r="B2" s="107"/>
      <c r="C2" s="107"/>
      <c r="D2" s="107"/>
      <c r="E2" s="107"/>
      <c r="F2" s="107"/>
      <c r="G2" s="107"/>
      <c r="H2" s="107"/>
      <c r="I2" s="107"/>
    </row>
    <row r="3" customFormat="false" ht="15" hidden="false" customHeight="false" outlineLevel="0" collapsed="false">
      <c r="A3" s="108" t="s">
        <v>268</v>
      </c>
      <c r="B3" s="108"/>
      <c r="C3" s="127" t="n">
        <v>1.25</v>
      </c>
      <c r="D3" s="128" t="s">
        <v>269</v>
      </c>
    </row>
    <row r="4" customFormat="false" ht="15" hidden="false" customHeight="false" outlineLevel="0" collapsed="false">
      <c r="A4" s="108" t="s">
        <v>270</v>
      </c>
      <c r="B4" s="108"/>
      <c r="C4" s="127" t="n">
        <v>1.1</v>
      </c>
      <c r="D4" s="128" t="s">
        <v>271</v>
      </c>
    </row>
    <row r="5" customFormat="false" ht="15" hidden="false" customHeight="false" outlineLevel="0" collapsed="false">
      <c r="A5" s="108" t="s">
        <v>272</v>
      </c>
      <c r="B5" s="108"/>
      <c r="C5" s="129" t="n">
        <v>4</v>
      </c>
      <c r="D5" s="128" t="s">
        <v>273</v>
      </c>
    </row>
    <row r="6" customFormat="false" ht="24" hidden="false" customHeight="true" outlineLevel="0" collapsed="false">
      <c r="A6" s="130" t="s">
        <v>274</v>
      </c>
      <c r="B6" s="130"/>
      <c r="C6" s="130"/>
      <c r="D6" s="130"/>
      <c r="E6" s="130"/>
      <c r="F6" s="130"/>
      <c r="G6" s="130"/>
      <c r="H6" s="130"/>
      <c r="I6" s="130"/>
    </row>
    <row r="7" customFormat="false" ht="26.85" hidden="false" customHeight="false" outlineLevel="0" collapsed="false">
      <c r="A7" s="17" t="s">
        <v>275</v>
      </c>
      <c r="B7" s="17" t="s">
        <v>276</v>
      </c>
      <c r="C7" s="17" t="s">
        <v>47</v>
      </c>
    </row>
    <row r="8" customFormat="false" ht="15" hidden="false" customHeight="false" outlineLevel="0" collapsed="false">
      <c r="A8" s="6" t="s">
        <v>277</v>
      </c>
      <c r="B8" s="131" t="n">
        <v>500</v>
      </c>
      <c r="C8" s="132" t="s">
        <v>278</v>
      </c>
    </row>
    <row r="9" customFormat="false" ht="15" hidden="false" customHeight="false" outlineLevel="0" collapsed="false">
      <c r="A9" s="4" t="s">
        <v>279</v>
      </c>
      <c r="B9" s="131" t="n">
        <v>1500</v>
      </c>
      <c r="C9" s="133" t="s">
        <v>280</v>
      </c>
    </row>
    <row r="10" customFormat="false" ht="15" hidden="false" customHeight="false" outlineLevel="0" collapsed="false">
      <c r="A10" s="6" t="s">
        <v>281</v>
      </c>
      <c r="B10" s="131" t="n">
        <v>2000</v>
      </c>
      <c r="C10" s="132" t="s">
        <v>282</v>
      </c>
    </row>
    <row r="11" customFormat="false" ht="15" hidden="false" customHeight="false" outlineLevel="0" collapsed="false">
      <c r="A11" s="4" t="s">
        <v>283</v>
      </c>
      <c r="B11" s="131" t="n">
        <v>400</v>
      </c>
      <c r="C11" s="133" t="s">
        <v>284</v>
      </c>
    </row>
    <row r="12" customFormat="false" ht="15" hidden="false" customHeight="false" outlineLevel="0" collapsed="false">
      <c r="A12" s="6" t="s">
        <v>285</v>
      </c>
      <c r="B12" s="131" t="n">
        <v>600</v>
      </c>
      <c r="C12" s="132" t="s">
        <v>286</v>
      </c>
    </row>
    <row r="13" customFormat="false" ht="15" hidden="false" customHeight="false" outlineLevel="0" collapsed="false">
      <c r="A13" s="4" t="s">
        <v>287</v>
      </c>
      <c r="B13" s="131" t="n">
        <v>800</v>
      </c>
      <c r="C13" s="133" t="s">
        <v>288</v>
      </c>
    </row>
    <row r="14" customFormat="false" ht="15" hidden="false" customHeight="false" outlineLevel="0" collapsed="false">
      <c r="A14" s="6" t="s">
        <v>289</v>
      </c>
      <c r="B14" s="131" t="n">
        <v>600</v>
      </c>
      <c r="C14" s="132" t="s">
        <v>290</v>
      </c>
    </row>
    <row r="15" customFormat="false" ht="15" hidden="false" customHeight="false" outlineLevel="0" collapsed="false">
      <c r="A15" s="4" t="s">
        <v>291</v>
      </c>
      <c r="B15" s="131" t="n">
        <v>600</v>
      </c>
      <c r="C15" s="133" t="s">
        <v>292</v>
      </c>
    </row>
    <row r="16" customFormat="false" ht="15" hidden="false" customHeight="false" outlineLevel="0" collapsed="false">
      <c r="A16" s="6" t="s">
        <v>293</v>
      </c>
      <c r="B16" s="131" t="n">
        <v>600</v>
      </c>
      <c r="C16" s="132" t="s">
        <v>294</v>
      </c>
    </row>
    <row r="17" customFormat="false" ht="15" hidden="false" customHeight="false" outlineLevel="0" collapsed="false">
      <c r="A17" s="4" t="s">
        <v>295</v>
      </c>
      <c r="B17" s="131" t="n">
        <v>600</v>
      </c>
      <c r="C17" s="133" t="s">
        <v>296</v>
      </c>
    </row>
    <row r="18" customFormat="false" ht="15" hidden="false" customHeight="false" outlineLevel="0" collapsed="false">
      <c r="A18" s="6" t="s">
        <v>297</v>
      </c>
      <c r="B18" s="131" t="n">
        <v>600</v>
      </c>
      <c r="C18" s="132" t="s">
        <v>298</v>
      </c>
    </row>
    <row r="19" customFormat="false" ht="15" hidden="false" customHeight="false" outlineLevel="0" collapsed="false">
      <c r="A19" s="4" t="s">
        <v>299</v>
      </c>
      <c r="B19" s="131" t="n">
        <v>800</v>
      </c>
      <c r="C19" s="133" t="s">
        <v>300</v>
      </c>
    </row>
    <row r="20" customFormat="false" ht="15" hidden="false" customHeight="false" outlineLevel="0" collapsed="false">
      <c r="A20" s="6" t="s">
        <v>301</v>
      </c>
      <c r="B20" s="131" t="n">
        <v>1000</v>
      </c>
      <c r="C20" s="132" t="s">
        <v>302</v>
      </c>
    </row>
    <row r="21" customFormat="false" ht="15" hidden="false" customHeight="false" outlineLevel="0" collapsed="false">
      <c r="A21" s="4" t="s">
        <v>303</v>
      </c>
      <c r="B21" s="131" t="n">
        <v>800</v>
      </c>
      <c r="C21" s="133" t="s">
        <v>304</v>
      </c>
    </row>
    <row r="22" customFormat="false" ht="15" hidden="false" customHeight="false" outlineLevel="0" collapsed="false">
      <c r="A22" s="6" t="s">
        <v>305</v>
      </c>
      <c r="B22" s="131" t="n">
        <v>1200</v>
      </c>
      <c r="C22" s="132" t="s">
        <v>306</v>
      </c>
    </row>
    <row r="23" customFormat="false" ht="15" hidden="false" customHeight="false" outlineLevel="0" collapsed="false">
      <c r="A23" s="4" t="s">
        <v>307</v>
      </c>
      <c r="B23" s="131" t="n">
        <v>1800</v>
      </c>
      <c r="C23" s="133" t="s">
        <v>308</v>
      </c>
    </row>
    <row r="24" customFormat="false" ht="15" hidden="false" customHeight="false" outlineLevel="0" collapsed="false">
      <c r="A24" s="6" t="s">
        <v>309</v>
      </c>
      <c r="B24" s="131" t="n">
        <v>2500</v>
      </c>
      <c r="C24" s="132" t="s">
        <v>310</v>
      </c>
    </row>
    <row r="27" customFormat="false" ht="24" hidden="false" customHeight="true" outlineLevel="0" collapsed="false">
      <c r="A27" s="107" t="s">
        <v>311</v>
      </c>
      <c r="B27" s="107"/>
      <c r="C27" s="107"/>
      <c r="D27" s="107"/>
      <c r="E27" s="107"/>
      <c r="F27" s="107"/>
      <c r="G27" s="107"/>
      <c r="H27" s="107"/>
      <c r="I27" s="107"/>
    </row>
    <row r="28" customFormat="false" ht="15" hidden="false" customHeight="false" outlineLevel="0" collapsed="false">
      <c r="A28" s="134" t="s">
        <v>312</v>
      </c>
      <c r="B28" s="134"/>
      <c r="C28" s="131" t="n">
        <v>400</v>
      </c>
    </row>
    <row r="29" customFormat="false" ht="26.85" hidden="false" customHeight="false" outlineLevel="0" collapsed="false">
      <c r="A29" s="17" t="s">
        <v>313</v>
      </c>
      <c r="B29" s="17" t="s">
        <v>314</v>
      </c>
      <c r="C29" s="17" t="s">
        <v>315</v>
      </c>
      <c r="D29" s="17" t="s">
        <v>316</v>
      </c>
      <c r="E29" s="17" t="s">
        <v>317</v>
      </c>
      <c r="F29" s="17" t="s">
        <v>318</v>
      </c>
      <c r="G29" s="17" t="s">
        <v>319</v>
      </c>
      <c r="H29" s="17" t="s">
        <v>47</v>
      </c>
    </row>
    <row r="30" customFormat="false" ht="15" hidden="false" customHeight="false" outlineLevel="0" collapsed="false">
      <c r="A30" s="135" t="n">
        <v>1</v>
      </c>
      <c r="B30" s="136" t="n">
        <f aca="false">C28*($C$3^(1-1))</f>
        <v>400</v>
      </c>
      <c r="C30" s="137" t="n">
        <f aca="false">B30</f>
        <v>400</v>
      </c>
      <c r="D30" s="138" t="n">
        <f aca="false">$C$4^1</f>
        <v>1.1</v>
      </c>
      <c r="E30" s="138" t="n">
        <f aca="false">D30/$C$4</f>
        <v>1</v>
      </c>
      <c r="F30" s="139" t="n">
        <f aca="false">B30/200</f>
        <v>2</v>
      </c>
      <c r="G30" s="140" t="n">
        <f aca="false">B30/(200*$C$5)</f>
        <v>0.5</v>
      </c>
      <c r="H30" s="132" t="s">
        <v>320</v>
      </c>
    </row>
    <row r="31" customFormat="false" ht="15" hidden="false" customHeight="false" outlineLevel="0" collapsed="false">
      <c r="A31" s="141" t="n">
        <v>2</v>
      </c>
      <c r="B31" s="142" t="n">
        <f aca="false">C28*($C$3^(2-1))</f>
        <v>500</v>
      </c>
      <c r="C31" s="143" t="n">
        <f aca="false">C30+B31</f>
        <v>900</v>
      </c>
      <c r="D31" s="144" t="n">
        <f aca="false">$C$4^2</f>
        <v>1.21</v>
      </c>
      <c r="E31" s="144" t="n">
        <f aca="false">D31/$C$4</f>
        <v>1.1</v>
      </c>
      <c r="F31" s="145" t="n">
        <f aca="false">B31/200</f>
        <v>2.5</v>
      </c>
      <c r="G31" s="146" t="n">
        <f aca="false">B31/(200*$C$5)</f>
        <v>0.625</v>
      </c>
      <c r="H31" s="133"/>
    </row>
    <row r="32" customFormat="false" ht="15" hidden="false" customHeight="false" outlineLevel="0" collapsed="false">
      <c r="A32" s="135" t="n">
        <v>3</v>
      </c>
      <c r="B32" s="136" t="n">
        <f aca="false">C28*($C$3^(3-1))</f>
        <v>625</v>
      </c>
      <c r="C32" s="137" t="n">
        <f aca="false">C31+B32</f>
        <v>1525</v>
      </c>
      <c r="D32" s="138" t="n">
        <f aca="false">$C$4^3</f>
        <v>1.331</v>
      </c>
      <c r="E32" s="138" t="n">
        <f aca="false">D32/$C$4</f>
        <v>1.21</v>
      </c>
      <c r="F32" s="139" t="n">
        <f aca="false">B32/200</f>
        <v>3.125</v>
      </c>
      <c r="G32" s="140" t="n">
        <f aca="false">B32/(200*$C$5)</f>
        <v>0.78125</v>
      </c>
      <c r="H32" s="132" t="s">
        <v>321</v>
      </c>
    </row>
    <row r="33" customFormat="false" ht="15" hidden="false" customHeight="false" outlineLevel="0" collapsed="false">
      <c r="A33" s="141" t="n">
        <v>4</v>
      </c>
      <c r="B33" s="142" t="n">
        <f aca="false">C28*($C$3^(4-1))</f>
        <v>781.25</v>
      </c>
      <c r="C33" s="143" t="n">
        <f aca="false">C32+B33</f>
        <v>2306.25</v>
      </c>
      <c r="D33" s="144" t="n">
        <f aca="false">$C$4^4</f>
        <v>1.4641</v>
      </c>
      <c r="E33" s="144" t="n">
        <f aca="false">D33/$C$4</f>
        <v>1.331</v>
      </c>
      <c r="F33" s="145" t="n">
        <f aca="false">B33/200</f>
        <v>3.90625</v>
      </c>
      <c r="G33" s="146" t="n">
        <f aca="false">B33/(200*$C$5)</f>
        <v>0.9765625</v>
      </c>
      <c r="H33" s="133"/>
    </row>
    <row r="34" customFormat="false" ht="15" hidden="false" customHeight="false" outlineLevel="0" collapsed="false">
      <c r="A34" s="135" t="n">
        <v>5</v>
      </c>
      <c r="B34" s="136" t="n">
        <f aca="false">C28*($C$3^(5-1))</f>
        <v>976.5625</v>
      </c>
      <c r="C34" s="137" t="n">
        <f aca="false">C33+B34</f>
        <v>3282.8125</v>
      </c>
      <c r="D34" s="138" t="n">
        <f aca="false">$C$4^5</f>
        <v>1.61051</v>
      </c>
      <c r="E34" s="147" t="n">
        <f aca="false">D34/$C$4</f>
        <v>1.4641</v>
      </c>
      <c r="F34" s="139" t="n">
        <f aca="false">B34/200</f>
        <v>4.8828125</v>
      </c>
      <c r="G34" s="140" t="n">
        <f aca="false">B34/(200*$C$5)</f>
        <v>1.220703125</v>
      </c>
      <c r="H34" s="132" t="s">
        <v>322</v>
      </c>
    </row>
    <row r="35" customFormat="false" ht="15" hidden="false" customHeight="false" outlineLevel="0" collapsed="false">
      <c r="A35" s="141" t="n">
        <v>6</v>
      </c>
      <c r="B35" s="142" t="n">
        <f aca="false">C28*($C$3^(6-1))</f>
        <v>1220.703125</v>
      </c>
      <c r="C35" s="143" t="n">
        <f aca="false">C34+B35</f>
        <v>4503.515625</v>
      </c>
      <c r="D35" s="144" t="n">
        <f aca="false">$C$4^6</f>
        <v>1.771561</v>
      </c>
      <c r="E35" s="148" t="n">
        <f aca="false">D35/$C$4</f>
        <v>1.61051</v>
      </c>
      <c r="F35" s="145" t="n">
        <f aca="false">B35/200</f>
        <v>6.103515625</v>
      </c>
      <c r="G35" s="146" t="n">
        <f aca="false">B35/(200*$C$5)</f>
        <v>1.52587890625</v>
      </c>
      <c r="H35" s="133"/>
    </row>
    <row r="36" customFormat="false" ht="15" hidden="false" customHeight="false" outlineLevel="0" collapsed="false">
      <c r="A36" s="135" t="n">
        <v>7</v>
      </c>
      <c r="B36" s="136" t="n">
        <f aca="false">C28*($C$3^(7-1))</f>
        <v>1525.87890625</v>
      </c>
      <c r="C36" s="137" t="n">
        <f aca="false">C35+B36</f>
        <v>6029.39453125</v>
      </c>
      <c r="D36" s="138" t="n">
        <f aca="false">$C$4^7</f>
        <v>1.9487171</v>
      </c>
      <c r="E36" s="147" t="n">
        <f aca="false">D36/$C$4</f>
        <v>1.771561</v>
      </c>
      <c r="F36" s="139" t="n">
        <f aca="false">B36/200</f>
        <v>7.62939453125</v>
      </c>
      <c r="G36" s="140" t="n">
        <f aca="false">B36/(200*$C$5)</f>
        <v>1.9073486328125</v>
      </c>
      <c r="H36" s="132"/>
    </row>
    <row r="37" customFormat="false" ht="15" hidden="false" customHeight="false" outlineLevel="0" collapsed="false">
      <c r="A37" s="141" t="n">
        <v>8</v>
      </c>
      <c r="B37" s="142" t="n">
        <f aca="false">C28*($C$3^(8-1))</f>
        <v>1907.3486328125</v>
      </c>
      <c r="C37" s="143" t="n">
        <f aca="false">C36+B37</f>
        <v>7936.7431640625</v>
      </c>
      <c r="D37" s="144" t="n">
        <f aca="false">$C$4^8</f>
        <v>2.14358881</v>
      </c>
      <c r="E37" s="148" t="n">
        <f aca="false">D37/$C$4</f>
        <v>1.9487171</v>
      </c>
      <c r="F37" s="145" t="n">
        <f aca="false">B37/200</f>
        <v>9.5367431640625</v>
      </c>
      <c r="G37" s="146" t="n">
        <f aca="false">B37/(200*$C$5)</f>
        <v>2.38418579101563</v>
      </c>
      <c r="H37" s="133"/>
    </row>
    <row r="38" customFormat="false" ht="15" hidden="false" customHeight="false" outlineLevel="0" collapsed="false">
      <c r="A38" s="135" t="n">
        <v>9</v>
      </c>
      <c r="B38" s="136" t="n">
        <f aca="false">C28*($C$3^(9-1))</f>
        <v>2384.18579101563</v>
      </c>
      <c r="C38" s="137" t="n">
        <f aca="false">C37+B38</f>
        <v>10320.9289550781</v>
      </c>
      <c r="D38" s="138" t="n">
        <f aca="false">$C$4^9</f>
        <v>2.357947691</v>
      </c>
      <c r="E38" s="147" t="n">
        <f aca="false">D38/$C$4</f>
        <v>2.14358881</v>
      </c>
      <c r="F38" s="139" t="n">
        <f aca="false">B38/200</f>
        <v>11.9209289550781</v>
      </c>
      <c r="G38" s="140" t="n">
        <f aca="false">B38/(200*$C$5)</f>
        <v>2.98023223876953</v>
      </c>
      <c r="H38" s="132"/>
    </row>
    <row r="39" customFormat="false" ht="15" hidden="false" customHeight="false" outlineLevel="0" collapsed="false">
      <c r="A39" s="141" t="n">
        <v>10</v>
      </c>
      <c r="B39" s="142" t="n">
        <f aca="false">C28*($C$3^(10-1))</f>
        <v>2980.23223876953</v>
      </c>
      <c r="C39" s="143" t="n">
        <f aca="false">C38+B39</f>
        <v>13301.1611938477</v>
      </c>
      <c r="D39" s="144" t="n">
        <f aca="false">$C$4^10</f>
        <v>2.5937424601</v>
      </c>
      <c r="E39" s="149" t="n">
        <f aca="false">D39/$C$4</f>
        <v>2.357947691</v>
      </c>
      <c r="F39" s="145" t="n">
        <f aca="false">B39/200</f>
        <v>14.9011611938477</v>
      </c>
      <c r="G39" s="146" t="n">
        <f aca="false">B39/(200*$C$5)</f>
        <v>3.72529029846191</v>
      </c>
      <c r="H39" s="133" t="s">
        <v>323</v>
      </c>
    </row>
    <row r="40" customFormat="false" ht="15" hidden="false" customHeight="false" outlineLevel="0" collapsed="false">
      <c r="A40" s="135" t="n">
        <v>11</v>
      </c>
      <c r="B40" s="136" t="n">
        <f aca="false">C28*($C$3^(11-1))</f>
        <v>3725.29029846191</v>
      </c>
      <c r="C40" s="137" t="n">
        <f aca="false">C39+B40</f>
        <v>17026.4514923096</v>
      </c>
      <c r="D40" s="138" t="n">
        <f aca="false">$C$4^11</f>
        <v>2.85311670611</v>
      </c>
      <c r="E40" s="150" t="n">
        <f aca="false">D40/$C$4</f>
        <v>2.5937424601</v>
      </c>
      <c r="F40" s="139" t="n">
        <f aca="false">B40/200</f>
        <v>18.6264514923096</v>
      </c>
      <c r="G40" s="140" t="n">
        <f aca="false">B40/(200*$C$5)</f>
        <v>4.65661287307739</v>
      </c>
      <c r="H40" s="132"/>
    </row>
    <row r="41" customFormat="false" ht="15" hidden="false" customHeight="false" outlineLevel="0" collapsed="false">
      <c r="A41" s="141" t="n">
        <v>12</v>
      </c>
      <c r="B41" s="142" t="n">
        <f aca="false">C28*($C$3^(12-1))</f>
        <v>4656.61287307739</v>
      </c>
      <c r="C41" s="143" t="n">
        <f aca="false">C40+B41</f>
        <v>21683.064365387</v>
      </c>
      <c r="D41" s="144" t="n">
        <f aca="false">$C$4^12</f>
        <v>3.138428376721</v>
      </c>
      <c r="E41" s="149" t="n">
        <f aca="false">D41/$C$4</f>
        <v>2.85311670611</v>
      </c>
      <c r="F41" s="145" t="n">
        <f aca="false">B41/200</f>
        <v>23.283064365387</v>
      </c>
      <c r="G41" s="146" t="n">
        <f aca="false">B41/(200*$C$5)</f>
        <v>5.82076609134674</v>
      </c>
      <c r="H41" s="133"/>
    </row>
    <row r="42" customFormat="false" ht="15" hidden="false" customHeight="false" outlineLevel="0" collapsed="false">
      <c r="A42" s="135" t="n">
        <v>13</v>
      </c>
      <c r="B42" s="136" t="n">
        <f aca="false">C28*($C$3^(13-1))</f>
        <v>5820.76609134674</v>
      </c>
      <c r="C42" s="137" t="n">
        <f aca="false">C41+B42</f>
        <v>27503.8304567337</v>
      </c>
      <c r="D42" s="138" t="n">
        <f aca="false">$C$4^13</f>
        <v>3.4522712143931</v>
      </c>
      <c r="E42" s="150" t="n">
        <f aca="false">D42/$C$4</f>
        <v>3.138428376721</v>
      </c>
      <c r="F42" s="139" t="n">
        <f aca="false">B42/200</f>
        <v>29.1038304567337</v>
      </c>
      <c r="G42" s="140" t="n">
        <f aca="false">B42/(200*$C$5)</f>
        <v>7.27595761418343</v>
      </c>
      <c r="H42" s="132"/>
    </row>
    <row r="43" customFormat="false" ht="15" hidden="false" customHeight="false" outlineLevel="0" collapsed="false">
      <c r="A43" s="141" t="n">
        <v>14</v>
      </c>
      <c r="B43" s="142" t="n">
        <f aca="false">C28*($C$3^(14-1))</f>
        <v>7275.95761418343</v>
      </c>
      <c r="C43" s="143" t="n">
        <f aca="false">C42+B43</f>
        <v>34779.7880709171</v>
      </c>
      <c r="D43" s="144" t="n">
        <f aca="false">$C$4^14</f>
        <v>3.79749833583241</v>
      </c>
      <c r="E43" s="149" t="n">
        <f aca="false">D43/$C$4</f>
        <v>3.4522712143931</v>
      </c>
      <c r="F43" s="145" t="n">
        <f aca="false">B43/200</f>
        <v>36.3797880709171</v>
      </c>
      <c r="G43" s="146" t="n">
        <f aca="false">B43/(200*$C$5)</f>
        <v>9.09494701772928</v>
      </c>
      <c r="H43" s="133"/>
    </row>
    <row r="44" customFormat="false" ht="15" hidden="false" customHeight="false" outlineLevel="0" collapsed="false">
      <c r="A44" s="135" t="n">
        <v>15</v>
      </c>
      <c r="B44" s="136" t="n">
        <f aca="false">C28*($C$3^(15-1))</f>
        <v>9094.94701772928</v>
      </c>
      <c r="C44" s="137" t="n">
        <f aca="false">C43+B44</f>
        <v>43874.7350886464</v>
      </c>
      <c r="D44" s="138" t="n">
        <f aca="false">$C$4^15</f>
        <v>4.17724816941566</v>
      </c>
      <c r="E44" s="150" t="n">
        <f aca="false">D44/$C$4</f>
        <v>3.79749833583241</v>
      </c>
      <c r="F44" s="139" t="n">
        <f aca="false">B44/200</f>
        <v>45.4747350886464</v>
      </c>
      <c r="G44" s="140" t="n">
        <f aca="false">B44/(200*$C$5)</f>
        <v>11.3686837721616</v>
      </c>
      <c r="H44" s="132" t="s">
        <v>324</v>
      </c>
    </row>
    <row r="45" customFormat="false" ht="15" hidden="false" customHeight="false" outlineLevel="0" collapsed="false">
      <c r="A45" s="141" t="n">
        <v>16</v>
      </c>
      <c r="B45" s="142" t="n">
        <f aca="false">C28*($C$3^(16-1))</f>
        <v>11368.6837721616</v>
      </c>
      <c r="C45" s="143" t="n">
        <f aca="false">C44+B45</f>
        <v>55243.418860808</v>
      </c>
      <c r="D45" s="144" t="n">
        <f aca="false">$C$4^16</f>
        <v>4.59497298635722</v>
      </c>
      <c r="E45" s="149" t="n">
        <f aca="false">D45/$C$4</f>
        <v>4.17724816941566</v>
      </c>
      <c r="F45" s="145" t="n">
        <f aca="false">B45/200</f>
        <v>56.843418860808</v>
      </c>
      <c r="G45" s="146" t="n">
        <f aca="false">B45/(200*$C$5)</f>
        <v>14.210854715202</v>
      </c>
      <c r="H45" s="133"/>
    </row>
    <row r="46" customFormat="false" ht="15" hidden="false" customHeight="false" outlineLevel="0" collapsed="false">
      <c r="A46" s="135" t="n">
        <v>17</v>
      </c>
      <c r="B46" s="136" t="n">
        <f aca="false">C28*($C$3^(17-1))</f>
        <v>14210.854715202</v>
      </c>
      <c r="C46" s="137" t="n">
        <f aca="false">C45+B46</f>
        <v>69454.27357601</v>
      </c>
      <c r="D46" s="138" t="n">
        <f aca="false">$C$4^17</f>
        <v>5.05447028499295</v>
      </c>
      <c r="E46" s="150" t="n">
        <f aca="false">D46/$C$4</f>
        <v>4.59497298635722</v>
      </c>
      <c r="F46" s="139" t="n">
        <f aca="false">B46/200</f>
        <v>71.05427357601</v>
      </c>
      <c r="G46" s="140" t="n">
        <f aca="false">B46/(200*$C$5)</f>
        <v>17.7635683940025</v>
      </c>
      <c r="H46" s="132"/>
    </row>
    <row r="47" customFormat="false" ht="15" hidden="false" customHeight="false" outlineLevel="0" collapsed="false">
      <c r="A47" s="141" t="n">
        <v>18</v>
      </c>
      <c r="B47" s="142" t="n">
        <f aca="false">C28*($C$3^(18-1))</f>
        <v>17763.5683940025</v>
      </c>
      <c r="C47" s="143" t="n">
        <f aca="false">C46+B47</f>
        <v>87217.8419700125</v>
      </c>
      <c r="D47" s="144" t="n">
        <f aca="false">$C$4^18</f>
        <v>5.55991731349224</v>
      </c>
      <c r="E47" s="149" t="n">
        <f aca="false">D47/$C$4</f>
        <v>5.05447028499295</v>
      </c>
      <c r="F47" s="145" t="n">
        <f aca="false">B47/200</f>
        <v>88.8178419700125</v>
      </c>
      <c r="G47" s="146" t="n">
        <f aca="false">B47/(200*$C$5)</f>
        <v>22.2044604925031</v>
      </c>
      <c r="H47" s="133"/>
    </row>
    <row r="48" customFormat="false" ht="15" hidden="false" customHeight="false" outlineLevel="0" collapsed="false">
      <c r="A48" s="135" t="n">
        <v>19</v>
      </c>
      <c r="B48" s="136" t="n">
        <f aca="false">C28*($C$3^(19-1))</f>
        <v>22204.4604925031</v>
      </c>
      <c r="C48" s="137" t="n">
        <f aca="false">C47+B48</f>
        <v>109422.302462516</v>
      </c>
      <c r="D48" s="138" t="n">
        <f aca="false">$C$4^19</f>
        <v>6.11590904484146</v>
      </c>
      <c r="E48" s="150" t="n">
        <f aca="false">D48/$C$4</f>
        <v>5.55991731349224</v>
      </c>
      <c r="F48" s="139" t="n">
        <f aca="false">B48/200</f>
        <v>111.022302462516</v>
      </c>
      <c r="G48" s="140" t="n">
        <f aca="false">B48/(200*$C$5)</f>
        <v>27.7555756156289</v>
      </c>
      <c r="H48" s="132"/>
    </row>
    <row r="49" customFormat="false" ht="15" hidden="false" customHeight="false" outlineLevel="0" collapsed="false">
      <c r="A49" s="141" t="n">
        <v>20</v>
      </c>
      <c r="B49" s="142" t="n">
        <f aca="false">C28*($C$3^(20-1))</f>
        <v>27755.5756156289</v>
      </c>
      <c r="C49" s="143" t="n">
        <f aca="false">C48+B49</f>
        <v>137177.878078145</v>
      </c>
      <c r="D49" s="144" t="n">
        <f aca="false">$C$4^20</f>
        <v>6.72749994932561</v>
      </c>
      <c r="E49" s="149" t="n">
        <f aca="false">D49/$C$4</f>
        <v>6.11590904484146</v>
      </c>
      <c r="F49" s="145" t="n">
        <f aca="false">B49/200</f>
        <v>138.777878078145</v>
      </c>
      <c r="G49" s="146" t="n">
        <f aca="false">B49/(200*$C$5)</f>
        <v>34.6944695195361</v>
      </c>
      <c r="H49" s="133" t="s">
        <v>325</v>
      </c>
    </row>
    <row r="50" customFormat="false" ht="15" hidden="false" customHeight="false" outlineLevel="0" collapsed="false">
      <c r="A50" s="135" t="n">
        <v>21</v>
      </c>
      <c r="B50" s="136" t="n">
        <f aca="false">C28*($C$3^(21-1))</f>
        <v>34694.4695195361</v>
      </c>
      <c r="C50" s="137" t="n">
        <f aca="false">C49+B50</f>
        <v>171872.347597681</v>
      </c>
      <c r="D50" s="138" t="n">
        <f aca="false">$C$4^21</f>
        <v>7.40024994425817</v>
      </c>
      <c r="E50" s="150" t="n">
        <f aca="false">D50/$C$4</f>
        <v>6.72749994932561</v>
      </c>
      <c r="F50" s="139" t="n">
        <f aca="false">B50/200</f>
        <v>173.472347597681</v>
      </c>
      <c r="G50" s="140" t="n">
        <f aca="false">B50/(200*$C$5)</f>
        <v>43.3680868994202</v>
      </c>
      <c r="H50" s="132"/>
    </row>
    <row r="51" customFormat="false" ht="15" hidden="false" customHeight="false" outlineLevel="0" collapsed="false">
      <c r="A51" s="141" t="n">
        <v>22</v>
      </c>
      <c r="B51" s="142" t="n">
        <f aca="false">C28*($C$3^(22-1))</f>
        <v>43368.0868994202</v>
      </c>
      <c r="C51" s="143" t="n">
        <f aca="false">C50+B51</f>
        <v>215240.434497101</v>
      </c>
      <c r="D51" s="144" t="n">
        <f aca="false">$C$4^22</f>
        <v>8.14027493868399</v>
      </c>
      <c r="E51" s="149" t="n">
        <f aca="false">D51/$C$4</f>
        <v>7.40024994425817</v>
      </c>
      <c r="F51" s="145" t="n">
        <f aca="false">B51/200</f>
        <v>216.840434497101</v>
      </c>
      <c r="G51" s="146" t="n">
        <f aca="false">B51/(200*$C$5)</f>
        <v>54.2101086242752</v>
      </c>
      <c r="H51" s="133"/>
    </row>
    <row r="52" customFormat="false" ht="15" hidden="false" customHeight="false" outlineLevel="0" collapsed="false">
      <c r="A52" s="135" t="n">
        <v>23</v>
      </c>
      <c r="B52" s="136" t="n">
        <f aca="false">C28*($C$3^(23-1))</f>
        <v>54210.1086242752</v>
      </c>
      <c r="C52" s="137" t="n">
        <f aca="false">C51+B52</f>
        <v>269450.543121376</v>
      </c>
      <c r="D52" s="138" t="n">
        <f aca="false">$C$4^23</f>
        <v>8.95430243255239</v>
      </c>
      <c r="E52" s="150" t="n">
        <f aca="false">D52/$C$4</f>
        <v>8.14027493868399</v>
      </c>
      <c r="F52" s="139" t="n">
        <f aca="false">B52/200</f>
        <v>271.050543121376</v>
      </c>
      <c r="G52" s="140" t="n">
        <f aca="false">B52/(200*$C$5)</f>
        <v>67.762635780344</v>
      </c>
      <c r="H52" s="132"/>
    </row>
    <row r="53" customFormat="false" ht="15" hidden="false" customHeight="false" outlineLevel="0" collapsed="false">
      <c r="A53" s="141" t="n">
        <v>24</v>
      </c>
      <c r="B53" s="142" t="n">
        <f aca="false">C28*($C$3^(24-1))</f>
        <v>67762.635780344</v>
      </c>
      <c r="C53" s="143" t="n">
        <f aca="false">C52+B53</f>
        <v>337213.17890172</v>
      </c>
      <c r="D53" s="144" t="n">
        <f aca="false">$C$4^24</f>
        <v>9.84973267580763</v>
      </c>
      <c r="E53" s="149" t="n">
        <f aca="false">D53/$C$4</f>
        <v>8.95430243255239</v>
      </c>
      <c r="F53" s="145" t="n">
        <f aca="false">B53/200</f>
        <v>338.81317890172</v>
      </c>
      <c r="G53" s="146" t="n">
        <f aca="false">B53/(200*$C$5)</f>
        <v>84.70329472543</v>
      </c>
      <c r="H53" s="133"/>
    </row>
    <row r="54" customFormat="false" ht="15" hidden="false" customHeight="false" outlineLevel="0" collapsed="false">
      <c r="A54" s="135" t="n">
        <v>25</v>
      </c>
      <c r="B54" s="136" t="n">
        <f aca="false">C28*($C$3^(25-1))</f>
        <v>84703.29472543</v>
      </c>
      <c r="C54" s="137" t="n">
        <f aca="false">C53+B54</f>
        <v>421916.47362715</v>
      </c>
      <c r="D54" s="138" t="n">
        <f aca="false">$C$4^25</f>
        <v>10.8347059433884</v>
      </c>
      <c r="E54" s="150" t="n">
        <f aca="false">D54/$C$4</f>
        <v>9.84973267580763</v>
      </c>
      <c r="F54" s="139" t="n">
        <f aca="false">B54/200</f>
        <v>423.51647362715</v>
      </c>
      <c r="G54" s="140" t="n">
        <f aca="false">B54/(200*$C$5)</f>
        <v>105.879118406788</v>
      </c>
      <c r="H54" s="132" t="s">
        <v>326</v>
      </c>
    </row>
  </sheetData>
  <mergeCells count="8">
    <mergeCell ref="A1:I1"/>
    <mergeCell ref="A2:I2"/>
    <mergeCell ref="A3:B3"/>
    <mergeCell ref="A4:B4"/>
    <mergeCell ref="A5:B5"/>
    <mergeCell ref="A6:I6"/>
    <mergeCell ref="A27:I27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14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6" t="s">
        <v>327</v>
      </c>
      <c r="B1" s="16"/>
      <c r="C1" s="16"/>
      <c r="D1" s="16"/>
      <c r="E1" s="16"/>
      <c r="F1" s="16"/>
      <c r="G1" s="16"/>
    </row>
    <row r="2" customFormat="false" ht="24" hidden="false" customHeight="true" outlineLevel="0" collapsed="false">
      <c r="A2" s="107" t="s">
        <v>328</v>
      </c>
      <c r="B2" s="107"/>
      <c r="C2" s="107"/>
      <c r="D2" s="107"/>
      <c r="E2" s="107"/>
      <c r="F2" s="107"/>
      <c r="G2" s="107"/>
    </row>
    <row r="3" customFormat="false" ht="15" hidden="false" customHeight="false" outlineLevel="0" collapsed="false">
      <c r="A3" s="108" t="s">
        <v>329</v>
      </c>
      <c r="B3" s="108"/>
      <c r="C3" s="59" t="n">
        <v>5000</v>
      </c>
      <c r="D3" s="10"/>
      <c r="E3" s="10"/>
      <c r="F3" s="10"/>
      <c r="G3" s="10"/>
    </row>
    <row r="4" customFormat="false" ht="15" hidden="false" customHeight="false" outlineLevel="0" collapsed="false">
      <c r="A4" s="108" t="s">
        <v>330</v>
      </c>
      <c r="B4" s="108"/>
      <c r="C4" s="59" t="n">
        <v>2500</v>
      </c>
      <c r="D4" s="10"/>
      <c r="E4" s="10"/>
      <c r="F4" s="10"/>
      <c r="G4" s="10"/>
    </row>
    <row r="5" customFormat="false" ht="15" hidden="false" customHeight="false" outlineLevel="0" collapsed="false">
      <c r="A5" s="108" t="s">
        <v>331</v>
      </c>
      <c r="B5" s="108"/>
      <c r="C5" s="129" t="n">
        <v>15</v>
      </c>
      <c r="D5" s="10"/>
      <c r="E5" s="10"/>
      <c r="F5" s="10"/>
      <c r="G5" s="10"/>
    </row>
    <row r="6" customFormat="false" ht="15" hidden="false" customHeight="false" outlineLevel="0" collapsed="false">
      <c r="A6" s="108" t="s">
        <v>332</v>
      </c>
      <c r="B6" s="108"/>
      <c r="C6" s="59" t="n">
        <v>0.8</v>
      </c>
      <c r="D6" s="10"/>
      <c r="E6" s="10"/>
      <c r="F6" s="10"/>
      <c r="G6" s="10"/>
    </row>
    <row r="7" customFormat="false" ht="15" hidden="false" customHeight="false" outlineLevel="0" collapsed="false">
      <c r="A7" s="108" t="s">
        <v>333</v>
      </c>
      <c r="B7" s="108"/>
      <c r="C7" s="151" t="n">
        <v>2</v>
      </c>
      <c r="D7" s="10"/>
      <c r="E7" s="10"/>
      <c r="F7" s="10"/>
      <c r="G7" s="10"/>
    </row>
    <row r="8" customFormat="false" ht="15" hidden="false" customHeight="false" outlineLevel="0" collapsed="false">
      <c r="A8" s="108" t="s">
        <v>334</v>
      </c>
      <c r="B8" s="108"/>
      <c r="C8" s="59" t="n">
        <v>0.25</v>
      </c>
      <c r="D8" s="10"/>
      <c r="E8" s="10"/>
      <c r="F8" s="10"/>
      <c r="G8" s="10"/>
    </row>
    <row r="9" customFormat="false" ht="15" hidden="false" customHeight="false" outlineLevel="0" collapsed="false">
      <c r="A9" s="108" t="s">
        <v>335</v>
      </c>
      <c r="B9" s="108"/>
      <c r="C9" s="59" t="n">
        <v>3</v>
      </c>
      <c r="D9" s="10"/>
      <c r="E9" s="10"/>
      <c r="F9" s="10"/>
      <c r="G9" s="10"/>
    </row>
    <row r="10" customFormat="false" ht="15" hidden="false" customHeight="false" outlineLevel="0" collapsed="false">
      <c r="A10" s="108" t="s">
        <v>336</v>
      </c>
      <c r="B10" s="108"/>
      <c r="C10" s="152" t="n">
        <v>0.03</v>
      </c>
      <c r="D10" s="10"/>
      <c r="E10" s="10"/>
      <c r="F10" s="10"/>
      <c r="G10" s="10"/>
    </row>
    <row r="11" customFormat="false" ht="15" hidden="false" customHeight="false" outlineLevel="0" collapsed="false">
      <c r="A11" s="108" t="s">
        <v>337</v>
      </c>
      <c r="B11" s="108"/>
      <c r="C11" s="59" t="n">
        <v>13</v>
      </c>
      <c r="D11" s="10"/>
      <c r="E11" s="10"/>
      <c r="F11" s="10"/>
      <c r="G11" s="10"/>
    </row>
    <row r="12" customFormat="false" ht="15" hidden="false" customHeight="false" outlineLevel="0" collapsed="false">
      <c r="A12" s="108" t="s">
        <v>338</v>
      </c>
      <c r="B12" s="108"/>
      <c r="C12" s="153" t="n">
        <v>4</v>
      </c>
      <c r="D12" s="10"/>
      <c r="E12" s="10"/>
      <c r="F12" s="10"/>
      <c r="G12" s="10"/>
    </row>
    <row r="13" customFormat="false" ht="24" hidden="false" customHeight="true" outlineLevel="0" collapsed="false">
      <c r="A13" s="130" t="s">
        <v>339</v>
      </c>
      <c r="B13" s="130"/>
      <c r="C13" s="130"/>
      <c r="D13" s="130"/>
      <c r="E13" s="130"/>
      <c r="F13" s="130"/>
      <c r="G13" s="130"/>
    </row>
    <row r="14" customFormat="false" ht="15" hidden="false" customHeight="false" outlineLevel="0" collapsed="false">
      <c r="A14" s="7" t="s">
        <v>340</v>
      </c>
      <c r="B14" s="7"/>
      <c r="C14" s="69" t="n">
        <f aca="false">C4</f>
        <v>2500</v>
      </c>
      <c r="D14" s="126" t="s">
        <v>341</v>
      </c>
      <c r="E14" s="10"/>
      <c r="F14" s="10"/>
      <c r="G14" s="10"/>
    </row>
    <row r="15" customFormat="false" ht="15" hidden="false" customHeight="false" outlineLevel="0" collapsed="false">
      <c r="A15" s="5" t="s">
        <v>342</v>
      </c>
      <c r="B15" s="5"/>
      <c r="C15" s="75" t="n">
        <f aca="false">C5*C6</f>
        <v>12</v>
      </c>
      <c r="D15" s="122" t="s">
        <v>343</v>
      </c>
      <c r="E15" s="10"/>
      <c r="F15" s="10"/>
      <c r="G15" s="10"/>
    </row>
    <row r="16" customFormat="false" ht="15" hidden="false" customHeight="false" outlineLevel="0" collapsed="false">
      <c r="A16" s="7" t="s">
        <v>344</v>
      </c>
      <c r="B16" s="7"/>
      <c r="C16" s="69" t="n">
        <f aca="false">60*C7*C8</f>
        <v>30</v>
      </c>
      <c r="D16" s="126" t="s">
        <v>345</v>
      </c>
      <c r="E16" s="10"/>
      <c r="F16" s="10"/>
      <c r="G16" s="10"/>
    </row>
    <row r="17" customFormat="false" ht="15" hidden="false" customHeight="false" outlineLevel="0" collapsed="false">
      <c r="A17" s="4" t="s">
        <v>346</v>
      </c>
      <c r="B17" s="4"/>
      <c r="C17" s="154" t="n">
        <f aca="false">C14+C15+C16</f>
        <v>2542</v>
      </c>
      <c r="D17" s="122"/>
      <c r="E17" s="10"/>
      <c r="F17" s="10"/>
      <c r="G17" s="10"/>
    </row>
    <row r="18" customFormat="false" ht="15" hidden="false" customHeight="false" outlineLevel="0" collapsed="false">
      <c r="A18" s="6" t="s">
        <v>347</v>
      </c>
      <c r="B18" s="6"/>
      <c r="C18" s="154" t="n">
        <f aca="false">C3-C17</f>
        <v>2458</v>
      </c>
      <c r="D18" s="126" t="s">
        <v>348</v>
      </c>
      <c r="E18" s="10"/>
      <c r="F18" s="10"/>
      <c r="G18" s="10"/>
    </row>
    <row r="20" customFormat="false" ht="24" hidden="false" customHeight="true" outlineLevel="0" collapsed="false">
      <c r="A20" s="16" t="s">
        <v>349</v>
      </c>
      <c r="B20" s="16"/>
      <c r="C20" s="16"/>
      <c r="D20" s="16"/>
      <c r="E20" s="16"/>
      <c r="F20" s="16"/>
      <c r="G20" s="16"/>
    </row>
    <row r="21" customFormat="false" ht="26.85" hidden="false" customHeight="false" outlineLevel="0" collapsed="false">
      <c r="A21" s="3" t="s">
        <v>350</v>
      </c>
      <c r="B21" s="3" t="s">
        <v>351</v>
      </c>
      <c r="C21" s="3" t="s">
        <v>352</v>
      </c>
      <c r="D21" s="3" t="s">
        <v>353</v>
      </c>
      <c r="E21" s="3" t="s">
        <v>354</v>
      </c>
      <c r="F21" s="3" t="s">
        <v>355</v>
      </c>
      <c r="G21" s="3" t="s">
        <v>356</v>
      </c>
      <c r="H21" s="3" t="s">
        <v>357</v>
      </c>
    </row>
    <row r="22" customFormat="false" ht="15" hidden="false" customHeight="false" outlineLevel="0" collapsed="false">
      <c r="A22" s="135" t="s">
        <v>358</v>
      </c>
      <c r="B22" s="155" t="n">
        <v>60</v>
      </c>
      <c r="C22" s="69" t="n">
        <f aca="false">B22*C9</f>
        <v>180</v>
      </c>
      <c r="D22" s="156" t="n">
        <f aca="false">C22*C10</f>
        <v>5.4</v>
      </c>
      <c r="E22" s="156" t="n">
        <f aca="false">C11</f>
        <v>13</v>
      </c>
      <c r="F22" s="156" t="n">
        <f aca="false">60*C7*C8</f>
        <v>30</v>
      </c>
      <c r="G22" s="157" t="n">
        <f aca="false">C22-D22-E22-F22</f>
        <v>131.6</v>
      </c>
      <c r="H22" s="158" t="n">
        <f aca="false">C18+G22</f>
        <v>2589.6</v>
      </c>
    </row>
    <row r="23" customFormat="false" ht="15" hidden="false" customHeight="false" outlineLevel="0" collapsed="false">
      <c r="A23" s="141" t="s">
        <v>359</v>
      </c>
      <c r="B23" s="159" t="n">
        <v>60</v>
      </c>
      <c r="C23" s="75" t="n">
        <f aca="false">B23*C9</f>
        <v>180</v>
      </c>
      <c r="D23" s="160" t="n">
        <f aca="false">C23*C10</f>
        <v>5.4</v>
      </c>
      <c r="E23" s="160" t="n">
        <f aca="false">C11</f>
        <v>13</v>
      </c>
      <c r="F23" s="160" t="n">
        <f aca="false">60*C7*C8</f>
        <v>30</v>
      </c>
      <c r="G23" s="157" t="n">
        <f aca="false">C23-D23-E23-F23</f>
        <v>131.6</v>
      </c>
      <c r="H23" s="158" t="n">
        <f aca="false">H22+G23</f>
        <v>2721.2</v>
      </c>
    </row>
    <row r="24" customFormat="false" ht="15" hidden="false" customHeight="false" outlineLevel="0" collapsed="false">
      <c r="A24" s="135" t="s">
        <v>360</v>
      </c>
      <c r="B24" s="155" t="n">
        <v>60</v>
      </c>
      <c r="C24" s="69" t="n">
        <f aca="false">B24*C9</f>
        <v>180</v>
      </c>
      <c r="D24" s="156" t="n">
        <f aca="false">C24*C10</f>
        <v>5.4</v>
      </c>
      <c r="E24" s="156" t="n">
        <f aca="false">C11</f>
        <v>13</v>
      </c>
      <c r="F24" s="156" t="n">
        <f aca="false">60*C7*C8</f>
        <v>30</v>
      </c>
      <c r="G24" s="157" t="n">
        <f aca="false">C24-D24-E24-F24</f>
        <v>131.6</v>
      </c>
      <c r="H24" s="158" t="n">
        <f aca="false">H23+G24</f>
        <v>2852.8</v>
      </c>
    </row>
    <row r="25" customFormat="false" ht="15" hidden="false" customHeight="false" outlineLevel="0" collapsed="false">
      <c r="A25" s="141" t="s">
        <v>361</v>
      </c>
      <c r="B25" s="159" t="n">
        <v>60</v>
      </c>
      <c r="C25" s="75" t="n">
        <f aca="false">B25*C9</f>
        <v>180</v>
      </c>
      <c r="D25" s="160" t="n">
        <f aca="false">C25*C10</f>
        <v>5.4</v>
      </c>
      <c r="E25" s="160" t="n">
        <f aca="false">C11</f>
        <v>13</v>
      </c>
      <c r="F25" s="160" t="n">
        <f aca="false">60*C7*C8</f>
        <v>30</v>
      </c>
      <c r="G25" s="157" t="n">
        <f aca="false">C25-D25-E25-F25</f>
        <v>131.6</v>
      </c>
      <c r="H25" s="158" t="n">
        <f aca="false">H24+G25</f>
        <v>2984.4</v>
      </c>
    </row>
    <row r="27" customFormat="false" ht="24" hidden="false" customHeight="true" outlineLevel="0" collapsed="false">
      <c r="A27" s="161" t="s">
        <v>362</v>
      </c>
      <c r="B27" s="161"/>
      <c r="C27" s="161"/>
      <c r="D27" s="161"/>
      <c r="E27" s="161"/>
      <c r="F27" s="161"/>
      <c r="G27" s="161"/>
      <c r="H27" s="161"/>
    </row>
    <row r="28" customFormat="false" ht="30" hidden="false" customHeight="true" outlineLevel="0" collapsed="false">
      <c r="A28" s="162" t="s">
        <v>363</v>
      </c>
      <c r="B28" s="162"/>
      <c r="C28" s="162"/>
      <c r="D28" s="162"/>
      <c r="E28" s="162"/>
      <c r="F28" s="162"/>
      <c r="G28" s="162"/>
      <c r="H28" s="162"/>
    </row>
    <row r="29" customFormat="false" ht="30" hidden="false" customHeight="true" outlineLevel="0" collapsed="false">
      <c r="A29" s="162" t="s">
        <v>364</v>
      </c>
      <c r="B29" s="162"/>
      <c r="C29" s="162"/>
      <c r="D29" s="162"/>
      <c r="E29" s="162"/>
      <c r="F29" s="162"/>
      <c r="G29" s="162"/>
      <c r="H29" s="162"/>
    </row>
    <row r="30" customFormat="false" ht="30" hidden="false" customHeight="true" outlineLevel="0" collapsed="false">
      <c r="A30" s="162" t="s">
        <v>365</v>
      </c>
      <c r="B30" s="162"/>
      <c r="C30" s="162"/>
      <c r="D30" s="162"/>
      <c r="E30" s="162"/>
      <c r="F30" s="162"/>
      <c r="G30" s="162"/>
      <c r="H30" s="162"/>
    </row>
    <row r="31" customFormat="false" ht="30" hidden="false" customHeight="true" outlineLevel="0" collapsed="false">
      <c r="A31" s="162" t="s">
        <v>366</v>
      </c>
      <c r="B31" s="162"/>
      <c r="C31" s="162"/>
      <c r="D31" s="162"/>
      <c r="E31" s="162"/>
      <c r="F31" s="162"/>
      <c r="G31" s="162"/>
      <c r="H31" s="162"/>
    </row>
    <row r="32" customFormat="false" ht="30" hidden="false" customHeight="true" outlineLevel="0" collapsed="false">
      <c r="A32" s="162" t="s">
        <v>367</v>
      </c>
      <c r="B32" s="162"/>
      <c r="C32" s="162"/>
      <c r="D32" s="162"/>
      <c r="E32" s="162"/>
      <c r="F32" s="162"/>
      <c r="G32" s="162"/>
      <c r="H32" s="162"/>
    </row>
  </sheetData>
  <mergeCells count="25">
    <mergeCell ref="A1:G1"/>
    <mergeCell ref="A2:G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G13"/>
    <mergeCell ref="A14:B14"/>
    <mergeCell ref="A15:B15"/>
    <mergeCell ref="A16:B16"/>
    <mergeCell ref="A17:B17"/>
    <mergeCell ref="A18:B18"/>
    <mergeCell ref="A20:G20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95548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24" hidden="false" customHeight="true" outlineLevel="0" collapsed="false">
      <c r="A1" s="16" t="s">
        <v>368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92" t="s">
        <v>369</v>
      </c>
      <c r="B2" s="92"/>
      <c r="C2" s="92"/>
      <c r="D2" s="92"/>
      <c r="E2" s="92"/>
      <c r="F2" s="92"/>
      <c r="G2" s="92"/>
      <c r="H2" s="92"/>
    </row>
    <row r="3" customFormat="false" ht="24" hidden="false" customHeight="true" outlineLevel="0" collapsed="false">
      <c r="A3" s="163" t="s">
        <v>370</v>
      </c>
      <c r="B3" s="163"/>
      <c r="C3" s="163"/>
      <c r="D3" s="163"/>
      <c r="E3" s="163"/>
      <c r="F3" s="163"/>
      <c r="G3" s="163"/>
      <c r="H3" s="163"/>
    </row>
    <row r="4" customFormat="false" ht="26.85" hidden="false" customHeight="false" outlineLevel="0" collapsed="false">
      <c r="A4" s="164" t="s">
        <v>371</v>
      </c>
      <c r="B4" s="164" t="s">
        <v>372</v>
      </c>
      <c r="C4" s="164" t="s">
        <v>373</v>
      </c>
      <c r="D4" s="164" t="s">
        <v>374</v>
      </c>
      <c r="E4" s="164" t="s">
        <v>140</v>
      </c>
      <c r="F4" s="164" t="s">
        <v>375</v>
      </c>
      <c r="G4" s="164" t="s">
        <v>143</v>
      </c>
      <c r="H4" s="164" t="s">
        <v>376</v>
      </c>
    </row>
    <row r="5" customFormat="false" ht="15" hidden="false" customHeight="false" outlineLevel="0" collapsed="false">
      <c r="A5" s="165" t="s">
        <v>153</v>
      </c>
      <c r="B5" s="166" t="s">
        <v>377</v>
      </c>
      <c r="C5" s="51" t="s">
        <v>378</v>
      </c>
      <c r="D5" s="167" t="s">
        <v>379</v>
      </c>
      <c r="E5" s="81" t="n">
        <v>0</v>
      </c>
      <c r="F5" s="81" t="n">
        <v>2.17</v>
      </c>
      <c r="G5" s="81" t="n">
        <f aca="false">10*1.8</f>
        <v>18</v>
      </c>
      <c r="H5" s="53" t="s">
        <v>380</v>
      </c>
    </row>
    <row r="6" customFormat="false" ht="15" hidden="false" customHeight="false" outlineLevel="0" collapsed="false">
      <c r="A6" s="168" t="s">
        <v>155</v>
      </c>
      <c r="B6" s="169" t="s">
        <v>377</v>
      </c>
      <c r="C6" s="5" t="s">
        <v>381</v>
      </c>
      <c r="D6" s="11" t="s">
        <v>382</v>
      </c>
      <c r="E6" s="75" t="n">
        <v>1.8</v>
      </c>
      <c r="F6" s="75" t="n">
        <v>2.17</v>
      </c>
      <c r="G6" s="75" t="n">
        <f aca="false">10*1.2</f>
        <v>12</v>
      </c>
      <c r="H6" s="133" t="s">
        <v>383</v>
      </c>
    </row>
    <row r="7" customFormat="false" ht="15" hidden="false" customHeight="false" outlineLevel="0" collapsed="false">
      <c r="A7" s="165" t="s">
        <v>384</v>
      </c>
      <c r="B7" s="166" t="s">
        <v>377</v>
      </c>
      <c r="C7" s="51" t="s">
        <v>382</v>
      </c>
      <c r="D7" s="167" t="s">
        <v>385</v>
      </c>
      <c r="E7" s="81" t="n">
        <f aca="false">10*1.2</f>
        <v>12</v>
      </c>
      <c r="F7" s="81" t="n">
        <v>2.17</v>
      </c>
      <c r="G7" s="81" t="n">
        <f aca="false">1*45</f>
        <v>45</v>
      </c>
      <c r="H7" s="53" t="s">
        <v>386</v>
      </c>
    </row>
    <row r="8" customFormat="false" ht="15" hidden="false" customHeight="false" outlineLevel="0" collapsed="false">
      <c r="A8" s="168" t="s">
        <v>387</v>
      </c>
      <c r="B8" s="169" t="s">
        <v>388</v>
      </c>
      <c r="C8" s="5" t="s">
        <v>385</v>
      </c>
      <c r="D8" s="11" t="s">
        <v>389</v>
      </c>
      <c r="E8" s="75" t="n">
        <v>0</v>
      </c>
      <c r="F8" s="75" t="n">
        <v>0</v>
      </c>
      <c r="G8" s="75" t="n">
        <f aca="false">45</f>
        <v>45</v>
      </c>
      <c r="H8" s="133" t="s">
        <v>390</v>
      </c>
    </row>
    <row r="10" customFormat="false" ht="24" hidden="false" customHeight="true" outlineLevel="0" collapsed="false">
      <c r="A10" s="170" t="s">
        <v>391</v>
      </c>
      <c r="B10" s="170"/>
      <c r="C10" s="170"/>
      <c r="D10" s="170"/>
      <c r="E10" s="170"/>
      <c r="F10" s="170"/>
      <c r="G10" s="170"/>
      <c r="H10" s="170"/>
    </row>
    <row r="11" customFormat="false" ht="26.85" hidden="false" customHeight="false" outlineLevel="0" collapsed="false">
      <c r="A11" s="171" t="s">
        <v>371</v>
      </c>
      <c r="B11" s="171" t="s">
        <v>372</v>
      </c>
      <c r="C11" s="171" t="s">
        <v>373</v>
      </c>
      <c r="D11" s="171" t="s">
        <v>374</v>
      </c>
      <c r="E11" s="171" t="s">
        <v>140</v>
      </c>
      <c r="F11" s="171" t="s">
        <v>375</v>
      </c>
      <c r="G11" s="171" t="s">
        <v>143</v>
      </c>
      <c r="H11" s="171" t="s">
        <v>376</v>
      </c>
    </row>
    <row r="12" customFormat="false" ht="15" hidden="false" customHeight="false" outlineLevel="0" collapsed="false">
      <c r="A12" s="172" t="s">
        <v>147</v>
      </c>
      <c r="B12" s="173" t="s">
        <v>377</v>
      </c>
      <c r="C12" s="19" t="s">
        <v>392</v>
      </c>
      <c r="D12" s="174" t="s">
        <v>393</v>
      </c>
      <c r="E12" s="175" t="n">
        <v>0</v>
      </c>
      <c r="F12" s="175" t="n">
        <v>2.17</v>
      </c>
      <c r="G12" s="175" t="n">
        <f aca="false">10*2</f>
        <v>20</v>
      </c>
      <c r="H12" s="22" t="s">
        <v>394</v>
      </c>
    </row>
    <row r="13" customFormat="false" ht="15" hidden="false" customHeight="false" outlineLevel="0" collapsed="false">
      <c r="A13" s="176" t="s">
        <v>395</v>
      </c>
      <c r="B13" s="169" t="s">
        <v>377</v>
      </c>
      <c r="C13" s="5" t="s">
        <v>378</v>
      </c>
      <c r="D13" s="11" t="s">
        <v>396</v>
      </c>
      <c r="E13" s="75" t="n">
        <v>0</v>
      </c>
      <c r="F13" s="75" t="n">
        <v>2.17</v>
      </c>
      <c r="G13" s="75" t="n">
        <f aca="false">10*1.5</f>
        <v>15</v>
      </c>
      <c r="H13" s="133"/>
    </row>
    <row r="14" customFormat="false" ht="15" hidden="false" customHeight="false" outlineLevel="0" collapsed="false">
      <c r="A14" s="172" t="s">
        <v>397</v>
      </c>
      <c r="B14" s="173" t="s">
        <v>398</v>
      </c>
      <c r="C14" s="19" t="s">
        <v>399</v>
      </c>
      <c r="D14" s="174" t="s">
        <v>400</v>
      </c>
      <c r="E14" s="175" t="n">
        <f aca="false">5*2+2*1.5</f>
        <v>13</v>
      </c>
      <c r="F14" s="175" t="n">
        <v>2.17</v>
      </c>
      <c r="G14" s="175" t="n">
        <f aca="false">3*8</f>
        <v>24</v>
      </c>
      <c r="H14" s="22" t="s">
        <v>401</v>
      </c>
    </row>
    <row r="15" customFormat="false" ht="15" hidden="false" customHeight="false" outlineLevel="0" collapsed="false">
      <c r="A15" s="176" t="s">
        <v>397</v>
      </c>
      <c r="B15" s="169" t="s">
        <v>402</v>
      </c>
      <c r="C15" s="5" t="s">
        <v>403</v>
      </c>
      <c r="D15" s="11" t="s">
        <v>404</v>
      </c>
      <c r="E15" s="75" t="n">
        <f aca="false">3*5+5.5</f>
        <v>20.5</v>
      </c>
      <c r="F15" s="75" t="n">
        <v>2.17</v>
      </c>
      <c r="G15" s="75" t="n">
        <f aca="false">28</f>
        <v>28</v>
      </c>
      <c r="H15" s="133" t="s">
        <v>405</v>
      </c>
    </row>
    <row r="16" customFormat="false" ht="15" hidden="false" customHeight="false" outlineLevel="0" collapsed="false">
      <c r="A16" s="172" t="s">
        <v>406</v>
      </c>
      <c r="B16" s="173" t="s">
        <v>407</v>
      </c>
      <c r="C16" s="19" t="s">
        <v>404</v>
      </c>
      <c r="D16" s="174" t="s">
        <v>408</v>
      </c>
      <c r="E16" s="175" t="n">
        <v>0</v>
      </c>
      <c r="F16" s="175" t="n">
        <v>0</v>
      </c>
      <c r="G16" s="175" t="n">
        <f aca="false">28</f>
        <v>28</v>
      </c>
      <c r="H16" s="22" t="s">
        <v>409</v>
      </c>
    </row>
    <row r="18" customFormat="false" ht="24" hidden="false" customHeight="true" outlineLevel="0" collapsed="false">
      <c r="A18" s="177" t="s">
        <v>410</v>
      </c>
      <c r="B18" s="177"/>
      <c r="C18" s="177"/>
      <c r="D18" s="177"/>
      <c r="E18" s="177"/>
      <c r="F18" s="177"/>
      <c r="G18" s="177"/>
      <c r="H18" s="177"/>
    </row>
    <row r="19" customFormat="false" ht="26.85" hidden="false" customHeight="false" outlineLevel="0" collapsed="false">
      <c r="A19" s="178" t="s">
        <v>371</v>
      </c>
      <c r="B19" s="178" t="s">
        <v>372</v>
      </c>
      <c r="C19" s="178" t="s">
        <v>373</v>
      </c>
      <c r="D19" s="178" t="s">
        <v>374</v>
      </c>
      <c r="E19" s="178" t="s">
        <v>140</v>
      </c>
      <c r="F19" s="178" t="s">
        <v>375</v>
      </c>
      <c r="G19" s="178" t="s">
        <v>143</v>
      </c>
      <c r="H19" s="178" t="s">
        <v>376</v>
      </c>
    </row>
    <row r="20" customFormat="false" ht="15" hidden="false" customHeight="false" outlineLevel="0" collapsed="false">
      <c r="A20" s="179" t="s">
        <v>151</v>
      </c>
      <c r="B20" s="180" t="s">
        <v>377</v>
      </c>
      <c r="C20" s="35" t="s">
        <v>378</v>
      </c>
      <c r="D20" s="181" t="s">
        <v>411</v>
      </c>
      <c r="E20" s="117" t="n">
        <v>0</v>
      </c>
      <c r="F20" s="117" t="n">
        <v>2.17</v>
      </c>
      <c r="G20" s="117" t="n">
        <f aca="false">10*0.25</f>
        <v>2.5</v>
      </c>
      <c r="H20" s="37" t="s">
        <v>412</v>
      </c>
    </row>
    <row r="21" customFormat="false" ht="15" hidden="false" customHeight="false" outlineLevel="0" collapsed="false">
      <c r="A21" s="182" t="s">
        <v>149</v>
      </c>
      <c r="B21" s="169" t="s">
        <v>377</v>
      </c>
      <c r="C21" s="5" t="s">
        <v>413</v>
      </c>
      <c r="D21" s="11" t="s">
        <v>414</v>
      </c>
      <c r="E21" s="75" t="n">
        <f aca="false">20*0.25</f>
        <v>5</v>
      </c>
      <c r="F21" s="75" t="n">
        <v>2.17</v>
      </c>
      <c r="G21" s="75" t="n">
        <f aca="false">10*3</f>
        <v>30</v>
      </c>
      <c r="H21" s="133" t="s">
        <v>415</v>
      </c>
    </row>
    <row r="22" customFormat="false" ht="15" hidden="false" customHeight="false" outlineLevel="0" collapsed="false">
      <c r="A22" s="179" t="s">
        <v>416</v>
      </c>
      <c r="B22" s="180" t="s">
        <v>170</v>
      </c>
      <c r="C22" s="35" t="s">
        <v>417</v>
      </c>
      <c r="D22" s="181" t="s">
        <v>418</v>
      </c>
      <c r="E22" s="117" t="n">
        <f aca="false">10*3+5*0.25</f>
        <v>31.25</v>
      </c>
      <c r="F22" s="117" t="n">
        <v>2.17</v>
      </c>
      <c r="G22" s="117" t="n">
        <f aca="false">100*0.8</f>
        <v>80</v>
      </c>
      <c r="H22" s="37" t="s">
        <v>419</v>
      </c>
    </row>
    <row r="23" customFormat="false" ht="15" hidden="false" customHeight="false" outlineLevel="0" collapsed="false">
      <c r="A23" s="182" t="s">
        <v>420</v>
      </c>
      <c r="B23" s="169" t="s">
        <v>407</v>
      </c>
      <c r="C23" s="5" t="s">
        <v>418</v>
      </c>
      <c r="D23" s="11" t="s">
        <v>408</v>
      </c>
      <c r="E23" s="75" t="n">
        <v>0</v>
      </c>
      <c r="F23" s="75" t="n">
        <v>0</v>
      </c>
      <c r="G23" s="75" t="n">
        <f aca="false">100*0.8</f>
        <v>80</v>
      </c>
      <c r="H23" s="133" t="s">
        <v>421</v>
      </c>
    </row>
    <row r="25" customFormat="false" ht="24" hidden="false" customHeight="true" outlineLevel="0" collapsed="false">
      <c r="A25" s="183" t="s">
        <v>422</v>
      </c>
      <c r="B25" s="183"/>
      <c r="C25" s="183"/>
      <c r="D25" s="183"/>
      <c r="E25" s="183"/>
      <c r="F25" s="183"/>
      <c r="G25" s="183"/>
      <c r="H25" s="183"/>
    </row>
    <row r="26" customFormat="false" ht="26.85" hidden="false" customHeight="false" outlineLevel="0" collapsed="false">
      <c r="A26" s="184" t="s">
        <v>371</v>
      </c>
      <c r="B26" s="184" t="s">
        <v>372</v>
      </c>
      <c r="C26" s="184" t="s">
        <v>373</v>
      </c>
      <c r="D26" s="184" t="s">
        <v>374</v>
      </c>
      <c r="E26" s="184" t="s">
        <v>140</v>
      </c>
      <c r="F26" s="184" t="s">
        <v>375</v>
      </c>
      <c r="G26" s="184" t="s">
        <v>143</v>
      </c>
      <c r="H26" s="184" t="s">
        <v>376</v>
      </c>
    </row>
    <row r="27" customFormat="false" ht="15" hidden="false" customHeight="false" outlineLevel="0" collapsed="false">
      <c r="A27" s="185" t="s">
        <v>423</v>
      </c>
      <c r="B27" s="186" t="s">
        <v>377</v>
      </c>
      <c r="C27" s="55" t="s">
        <v>424</v>
      </c>
      <c r="D27" s="187" t="s">
        <v>425</v>
      </c>
      <c r="E27" s="87" t="n">
        <f aca="false">20*0.25</f>
        <v>5</v>
      </c>
      <c r="F27" s="87" t="n">
        <v>2.17</v>
      </c>
      <c r="G27" s="87" t="n">
        <f aca="false">10*2.5</f>
        <v>25</v>
      </c>
      <c r="H27" s="57" t="s">
        <v>426</v>
      </c>
    </row>
    <row r="28" customFormat="false" ht="15" hidden="false" customHeight="false" outlineLevel="0" collapsed="false">
      <c r="A28" s="188" t="s">
        <v>151</v>
      </c>
      <c r="B28" s="169" t="s">
        <v>377</v>
      </c>
      <c r="C28" s="5" t="s">
        <v>378</v>
      </c>
      <c r="D28" s="11" t="s">
        <v>411</v>
      </c>
      <c r="E28" s="75" t="n">
        <v>0</v>
      </c>
      <c r="F28" s="75" t="n">
        <v>2.17</v>
      </c>
      <c r="G28" s="75" t="n">
        <f aca="false">10*0.25</f>
        <v>2.5</v>
      </c>
      <c r="H28" s="133" t="s">
        <v>427</v>
      </c>
    </row>
    <row r="29" customFormat="false" ht="15" hidden="false" customHeight="false" outlineLevel="0" collapsed="false">
      <c r="A29" s="185" t="s">
        <v>384</v>
      </c>
      <c r="B29" s="186" t="s">
        <v>428</v>
      </c>
      <c r="C29" s="55" t="s">
        <v>429</v>
      </c>
      <c r="D29" s="187" t="s">
        <v>430</v>
      </c>
      <c r="E29" s="87" t="n">
        <f aca="false">20*1.2</f>
        <v>24</v>
      </c>
      <c r="F29" s="87" t="n">
        <v>2.17</v>
      </c>
      <c r="G29" s="87" t="n">
        <f aca="false">2*16</f>
        <v>32</v>
      </c>
      <c r="H29" s="57" t="s">
        <v>431</v>
      </c>
    </row>
    <row r="30" customFormat="false" ht="15" hidden="false" customHeight="false" outlineLevel="0" collapsed="false">
      <c r="A30" s="188" t="s">
        <v>432</v>
      </c>
      <c r="B30" s="169" t="s">
        <v>433</v>
      </c>
      <c r="C30" s="5" t="s">
        <v>434</v>
      </c>
      <c r="D30" s="11" t="s">
        <v>435</v>
      </c>
      <c r="E30" s="75" t="n">
        <f aca="false">1*2.5+5*0.25+2*16</f>
        <v>35.75</v>
      </c>
      <c r="F30" s="75" t="n">
        <v>2.17</v>
      </c>
      <c r="G30" s="75" t="n">
        <f aca="false">35*8</f>
        <v>280</v>
      </c>
      <c r="H30" s="133" t="s">
        <v>436</v>
      </c>
    </row>
    <row r="31" customFormat="false" ht="15" hidden="false" customHeight="false" outlineLevel="0" collapsed="false">
      <c r="A31" s="185" t="s">
        <v>437</v>
      </c>
      <c r="B31" s="186" t="s">
        <v>388</v>
      </c>
      <c r="C31" s="55" t="s">
        <v>435</v>
      </c>
      <c r="D31" s="187" t="s">
        <v>389</v>
      </c>
      <c r="E31" s="87" t="n">
        <v>0</v>
      </c>
      <c r="F31" s="87" t="n">
        <v>0</v>
      </c>
      <c r="G31" s="87" t="n">
        <f aca="false">35*8</f>
        <v>280</v>
      </c>
      <c r="H31" s="57" t="s">
        <v>438</v>
      </c>
    </row>
  </sheetData>
  <mergeCells count="6">
    <mergeCell ref="A1:H1"/>
    <mergeCell ref="A2:H2"/>
    <mergeCell ref="A3:H3"/>
    <mergeCell ref="A10:H10"/>
    <mergeCell ref="A18:H18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2026-03-01T23:30:46Z</dcterms:created>
  <dc:creator>openpyxl</dc:creator>
  <dc:description/>
  <dc:language>en-US</dc:language>
  <cp:lastModifiedBy/>
  <dcterms:modified xsi:type="dcterms:W3CDTF">2026-03-01T23:30:47Z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